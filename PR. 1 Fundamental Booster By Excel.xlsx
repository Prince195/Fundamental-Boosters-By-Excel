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rinc\OneDrive\2025\Excel project\"/>
    </mc:Choice>
  </mc:AlternateContent>
  <xr:revisionPtr revIDLastSave="0" documentId="8_{7E85B11F-3F5B-403D-ABFD-01CCFAD8B1F1}" xr6:coauthVersionLast="47" xr6:coauthVersionMax="47" xr10:uidLastSave="{00000000-0000-0000-0000-000000000000}"/>
  <bookViews>
    <workbookView xWindow="-98" yWindow="-98" windowWidth="21795" windowHeight="12975" activeTab="2" xr2:uid="{00000000-000D-0000-FFFF-FFFF00000000}"/>
  </bookViews>
  <sheets>
    <sheet name="Project Instructions" sheetId="1" r:id="rId1"/>
    <sheet name="Students Grade" sheetId="2" r:id="rId2"/>
    <sheet name="Sales Data" sheetId="3" r:id="rId3"/>
    <sheet name="Employee Data" sheetId="4" r:id="rId4"/>
    <sheet name="Sheet1"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K3" i="2"/>
  <c r="K4" i="2"/>
  <c r="K5" i="2"/>
  <c r="K6" i="2"/>
  <c r="K7" i="2"/>
  <c r="K8" i="2"/>
  <c r="K9" i="2"/>
  <c r="K10" i="2"/>
  <c r="K11" i="2"/>
  <c r="K12" i="2"/>
  <c r="K13" i="2"/>
  <c r="K14" i="2"/>
  <c r="K15" i="2"/>
  <c r="K16" i="2"/>
  <c r="K17" i="2"/>
  <c r="K18" i="2"/>
  <c r="K19" i="2"/>
  <c r="K20" i="2"/>
  <c r="K21" i="2"/>
  <c r="K22" i="2"/>
  <c r="K2" i="2"/>
  <c r="H27" i="2"/>
  <c r="G29" i="3"/>
  <c r="K16" i="4"/>
  <c r="M28" i="3"/>
  <c r="J9" i="4"/>
  <c r="N20" i="3"/>
  <c r="N22" i="2"/>
  <c r="J3" i="2"/>
  <c r="J4" i="2"/>
  <c r="J5" i="2"/>
  <c r="J6" i="2"/>
  <c r="J7" i="2"/>
  <c r="J8" i="2"/>
  <c r="J9" i="2"/>
  <c r="J10" i="2"/>
  <c r="J11" i="2"/>
  <c r="J12" i="2"/>
  <c r="J13" i="2"/>
  <c r="J14" i="2"/>
  <c r="J15" i="2"/>
  <c r="J16" i="2"/>
  <c r="J17" i="2"/>
  <c r="J18" i="2"/>
  <c r="J19" i="2"/>
  <c r="J20" i="2"/>
  <c r="J21" i="2"/>
  <c r="J2" i="2"/>
  <c r="J4" i="4"/>
  <c r="O13" i="3"/>
  <c r="O10" i="2"/>
  <c r="I3" i="3"/>
  <c r="I4" i="3"/>
  <c r="I5" i="3"/>
  <c r="I6" i="3"/>
  <c r="I7" i="3"/>
  <c r="I8" i="3"/>
  <c r="I9" i="3"/>
  <c r="I10" i="3"/>
  <c r="I11" i="3"/>
  <c r="I12" i="3"/>
  <c r="I13" i="3"/>
  <c r="I14" i="3"/>
  <c r="I15" i="3"/>
  <c r="I16" i="3"/>
  <c r="I17" i="3"/>
  <c r="I18" i="3"/>
  <c r="I19" i="3"/>
  <c r="I20" i="3"/>
  <c r="I21" i="3"/>
  <c r="I2" i="3"/>
  <c r="H3" i="3"/>
  <c r="H4" i="3"/>
  <c r="H5" i="3"/>
  <c r="H6" i="3"/>
  <c r="H7" i="3"/>
  <c r="H8" i="3"/>
  <c r="H9" i="3"/>
  <c r="H10" i="3"/>
  <c r="H11" i="3"/>
  <c r="H12" i="3"/>
  <c r="H13" i="3"/>
  <c r="H14" i="3"/>
  <c r="H15" i="3"/>
  <c r="H16" i="3"/>
  <c r="H17" i="3"/>
  <c r="H18" i="3"/>
  <c r="H19" i="3"/>
  <c r="H20" i="3"/>
  <c r="H21" i="3"/>
  <c r="H2" i="3"/>
  <c r="N6" i="3"/>
  <c r="H3" i="2"/>
  <c r="I3" i="2" s="1"/>
  <c r="H8" i="2"/>
  <c r="I8" i="2" s="1"/>
  <c r="H12" i="2"/>
  <c r="I12" i="2" s="1"/>
  <c r="H16" i="2"/>
  <c r="I16" i="2" s="1"/>
  <c r="H20" i="2"/>
  <c r="I20" i="2" s="1"/>
  <c r="G5" i="2"/>
  <c r="H5" i="2" s="1"/>
  <c r="I5" i="2" s="1"/>
  <c r="G6" i="2"/>
  <c r="H6" i="2" s="1"/>
  <c r="I6" i="2" s="1"/>
  <c r="G7" i="2"/>
  <c r="H7" i="2" s="1"/>
  <c r="I7" i="2" s="1"/>
  <c r="G8" i="2"/>
  <c r="G9" i="2"/>
  <c r="H9" i="2" s="1"/>
  <c r="I9" i="2" s="1"/>
  <c r="G10" i="2"/>
  <c r="H10" i="2" s="1"/>
  <c r="I10" i="2" s="1"/>
  <c r="G11" i="2"/>
  <c r="H11" i="2" s="1"/>
  <c r="I11" i="2" s="1"/>
  <c r="G12" i="2"/>
  <c r="G13" i="2"/>
  <c r="H13" i="2" s="1"/>
  <c r="I13" i="2" s="1"/>
  <c r="G14" i="2"/>
  <c r="H14" i="2" s="1"/>
  <c r="I14" i="2" s="1"/>
  <c r="G15" i="2"/>
  <c r="H15" i="2" s="1"/>
  <c r="I15" i="2" s="1"/>
  <c r="G16" i="2"/>
  <c r="G17" i="2"/>
  <c r="H17" i="2" s="1"/>
  <c r="I17" i="2" s="1"/>
  <c r="G18" i="2"/>
  <c r="H18" i="2" s="1"/>
  <c r="I18" i="2" s="1"/>
  <c r="G19" i="2"/>
  <c r="H19" i="2" s="1"/>
  <c r="I19" i="2" s="1"/>
  <c r="G20" i="2"/>
  <c r="G21" i="2"/>
  <c r="H21" i="2" s="1"/>
  <c r="I21" i="2" s="1"/>
  <c r="G3" i="2"/>
  <c r="G4" i="2"/>
  <c r="H4" i="2" s="1"/>
  <c r="I4" i="2" s="1"/>
  <c r="G2" i="2"/>
  <c r="H2" i="2" s="1"/>
  <c r="I2" i="2" s="1"/>
  <c r="K24" i="4" a="1"/>
  <c r="N17" i="2" l="1"/>
  <c r="K2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<sst xmlns="http://schemas.openxmlformats.org/spreadsheetml/2006/main" count="236" uniqueCount="168">
  <si>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</si>
  <si>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</si>
  <si>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</si>
  <si>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</si>
  <si>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</si>
  <si>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</si>
  <si>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</si>
  <si>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</si>
  <si>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</si>
  <si>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</si>
  <si>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</si>
  <si>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</si>
  <si>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</si>
  <si>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</si>
  <si>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</si>
  <si>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</si>
  <si>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</si>
  <si>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</si>
  <si>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</si>
  <si>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</si>
  <si>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</si>
  <si>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</si>
  <si>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</si>
  <si>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</si>
  <si>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</si>
  <si>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</si>
  <si>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</si>
  <si>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</si>
  <si>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</si>
  <si>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</si>
  <si>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</si>
  <si>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</si>
  <si>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</si>
  <si>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</si>
  <si>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</si>
  <si>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</si>
  <si>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</si>
  <si>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</si>
  <si>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</si>
  <si>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</si>
  <si>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</si>
  <si>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</si>
  <si>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</si>
  <si>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</si>
  <si>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</si>
  <si>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</si>
  <si>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</si>
  <si>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</si>
  <si>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</si>
  <si>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</si>
  <si>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</si>
  <si>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</si>
  <si>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</si>
  <si>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</si>
  <si>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</si>
  <si>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</si>
  <si>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</si>
  <si>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</si>
  <si>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</si>
  <si>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</si>
  <si>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</si>
  <si>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</si>
  <si>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</si>
  <si>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</si>
  <si>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</si>
  <si>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</si>
  <si>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</si>
  <si>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</si>
  <si>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</si>
  <si>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</si>
  <si>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</si>
  <si>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</si>
  <si>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</si>
  <si>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</si>
  <si>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</si>
  <si>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</si>
  <si>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</si>
  <si>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</si>
  <si>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</si>
  <si>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</si>
  <si>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</si>
  <si>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</si>
  <si>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</si>
  <si>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</si>
  <si>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</si>
  <si>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</si>
  <si>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</si>
  <si>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</si>
  <si>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</si>
  <si>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</si>
  <si>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</si>
  <si>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</si>
  <si>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</si>
  <si>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</si>
  <si>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</si>
  <si>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</si>
  <si>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</si>
  <si>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</si>
  <si>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</si>
  <si>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</si>
  <si>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</si>
  <si>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</si>
  <si>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</si>
  <si>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</si>
  <si>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</si>
  <si>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</si>
  <si>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</si>
  <si>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</si>
  <si>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</si>
  <si>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</si>
  <si>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</si>
  <si>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</si>
  <si>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</si>
  <si>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</si>
  <si>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</si>
  <si>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</si>
  <si>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</si>
  <si>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</si>
  <si>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</si>
  <si>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</si>
  <si>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</si>
  <si>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</si>
  <si>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</si>
  <si>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</si>
  <si>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</si>
  <si>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</si>
  <si>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</si>
  <si>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</si>
  <si>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</si>
  <si>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</si>
  <si>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</si>
  <si>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Percentage</t>
  </si>
  <si>
    <t>Grade</t>
  </si>
  <si>
    <t>2. Use of Countifs to count Student Scoring above 60 in eccel</t>
  </si>
  <si>
    <t>3.Use of Vlookup to find a product price from sales data</t>
  </si>
  <si>
    <t>Product Price</t>
  </si>
  <si>
    <t xml:space="preserve">Discount Rate </t>
  </si>
  <si>
    <t>Last Amount</t>
  </si>
  <si>
    <t>Above 80</t>
  </si>
  <si>
    <t>Use of IF(OR(…))</t>
  </si>
  <si>
    <t>Ans</t>
  </si>
  <si>
    <t>3. Use of Countifs / Above 50 Math</t>
  </si>
  <si>
    <t>4.Use of Sumifs  / Leptop,South = Amount</t>
  </si>
  <si>
    <t>Regoin</t>
  </si>
  <si>
    <t>Sumifs</t>
  </si>
  <si>
    <t>4.Use of Aveifs / Above 60 Peercentage</t>
  </si>
  <si>
    <t>1.Feach Employee Salary using Xlookup</t>
  </si>
  <si>
    <t xml:space="preserve">5.Fetch student names based on ID </t>
  </si>
  <si>
    <t>Student Id</t>
  </si>
  <si>
    <t>5.Retrieve product prices based on product codes.</t>
  </si>
  <si>
    <t>2.Extract the first name from full names using LEFT and FIND.</t>
  </si>
  <si>
    <t>6.Search for salesperson performance based on flexible search criteria.</t>
  </si>
  <si>
    <t>Seles ID</t>
  </si>
  <si>
    <t>SalesPerson</t>
  </si>
  <si>
    <t>3.Find employee salaries without worrying about sorted data.</t>
  </si>
  <si>
    <t xml:space="preserve">Ans </t>
  </si>
  <si>
    <t>7.Find the position of a product in a sales list.</t>
  </si>
  <si>
    <t>Position</t>
  </si>
  <si>
    <t>Sales Id</t>
  </si>
  <si>
    <t>4.Dynamically reference a cell range using INDIRECT.</t>
  </si>
  <si>
    <t>Cells</t>
  </si>
  <si>
    <t>B16</t>
  </si>
  <si>
    <t>6.Calculate age from date of birth.</t>
  </si>
  <si>
    <t>DATE Choice</t>
  </si>
  <si>
    <t>Age</t>
  </si>
  <si>
    <t>Last Date</t>
  </si>
  <si>
    <t>Performing</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</si>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</sst>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000000"/>
      <name val="Calibri, sans-serif"/>
    </font>
    <font>
      <sz val="11"/>
      <color rgb="FF000000"/>
      <name val="Calibri, sans-serif"/>
    </font>
    <font>
      <b/>
      <sz val="11"/>
      <color rgb="FF38761D"/>
      <name val="Calibri, sans-serif"/>
    </font>
    <font>
      <sz val="11"/>
      <color rgb="FF38761D"/>
      <name val="Calibri, sans-serif"/>
    </font>
    <font>
      <sz val="12"/>
      <color theme="1"/>
      <name val="Calibri"/>
      <family val="2"/>
      <scheme val="minor"/>
    </font>
    <font>
      <sz val="14"/>
      <color theme="1"/>
      <name val="Calibri"/>
      <family val="2"/>
      <scheme val="minor"/>
    </font>
    <font>
      <b/>
      <sz val="11"/>
      <color rgb="FF000000"/>
      <name val="Calibri"/>
      <family val="2"/>
    </font>
  </fonts>
  <fills count="16">
    <fill>
      <patternFill patternType="none"/>
    </fill>
    <fill>
      <patternFill patternType="gray125"/>
    </fill>
    <fill>
      <patternFill patternType="solid">
        <fgColor rgb="FFFFF2CC"/>
        <bgColor rgb="FFFFF2CC"/>
      </patternFill>
    </fill>
    <fill>
      <patternFill patternType="solid">
        <fgColor theme="4" tint="0.59999389629810485"/>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6"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5" fillId="2" borderId="1" xfId="0" applyFont="1" applyFill="1" applyBorder="1" applyAlignment="1">
      <alignment horizontal="center" vertical="center"/>
    </xf>
    <xf numFmtId="0" fontId="6" fillId="0" borderId="0" xfId="0" applyFont="1" applyAlignment="1">
      <alignment vertical="center"/>
    </xf>
    <xf numFmtId="0" fontId="7"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8" fillId="2" borderId="1" xfId="0" applyFont="1" applyFill="1" applyBorder="1" applyAlignment="1">
      <alignment horizontal="center" vertical="center"/>
    </xf>
    <xf numFmtId="0" fontId="6" fillId="0" borderId="0" xfId="0" applyFont="1"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1" fontId="6" fillId="0" borderId="0" xfId="0" applyNumberFormat="1" applyFont="1" applyAlignment="1">
      <alignment horizontal="center" vertical="center"/>
    </xf>
    <xf numFmtId="0" fontId="4" fillId="3" borderId="0" xfId="0" applyFont="1" applyFill="1" applyAlignment="1">
      <alignment horizontal="center" vertical="center"/>
    </xf>
    <xf numFmtId="0" fontId="6" fillId="3" borderId="0" xfId="0" applyFont="1" applyFill="1" applyAlignment="1">
      <alignment horizontal="center" vertical="center"/>
    </xf>
    <xf numFmtId="9" fontId="6" fillId="0" borderId="0" xfId="0" applyNumberFormat="1" applyFont="1" applyAlignment="1">
      <alignment horizontal="center" vertical="center"/>
    </xf>
    <xf numFmtId="0" fontId="6" fillId="4"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8" borderId="0" xfId="0" applyFont="1" applyFill="1" applyAlignment="1">
      <alignment horizontal="center" vertical="center"/>
    </xf>
    <xf numFmtId="0" fontId="2" fillId="4" borderId="0" xfId="0" applyFont="1" applyFill="1" applyAlignment="1">
      <alignment horizontal="center" vertical="center"/>
    </xf>
    <xf numFmtId="0" fontId="2" fillId="0" borderId="1" xfId="0" applyFont="1" applyBorder="1" applyAlignment="1">
      <alignment vertical="center"/>
    </xf>
    <xf numFmtId="0" fontId="2" fillId="6" borderId="0" xfId="0" applyFont="1" applyFill="1" applyAlignment="1">
      <alignment horizontal="center" vertical="center"/>
    </xf>
    <xf numFmtId="0" fontId="6" fillId="10" borderId="0" xfId="0" applyFont="1" applyFill="1" applyAlignment="1">
      <alignment horizontal="center" vertical="center"/>
    </xf>
    <xf numFmtId="0" fontId="1" fillId="0" borderId="1" xfId="0" applyFont="1" applyBorder="1" applyAlignment="1">
      <alignment vertical="center"/>
    </xf>
    <xf numFmtId="0" fontId="1" fillId="9" borderId="0" xfId="0" applyFont="1" applyFill="1" applyAlignment="1">
      <alignment horizontal="center" vertical="center"/>
    </xf>
    <xf numFmtId="0" fontId="6" fillId="9" borderId="0" xfId="0" applyFont="1" applyFill="1" applyAlignment="1">
      <alignment horizontal="center" vertical="center"/>
    </xf>
    <xf numFmtId="0" fontId="1" fillId="0" borderId="0" xfId="0" applyFont="1" applyAlignment="1">
      <alignment horizontal="center" vertical="center"/>
    </xf>
    <xf numFmtId="0" fontId="1" fillId="11" borderId="0" xfId="0" applyFont="1" applyFill="1" applyAlignment="1">
      <alignment horizontal="center" vertical="center"/>
    </xf>
    <xf numFmtId="0" fontId="1" fillId="6" borderId="0" xfId="0" applyFont="1" applyFill="1" applyAlignment="1">
      <alignment horizontal="center" vertical="center"/>
    </xf>
    <xf numFmtId="0" fontId="1" fillId="12" borderId="0" xfId="0" applyFont="1" applyFill="1" applyAlignment="1">
      <alignment horizontal="center" vertical="center"/>
    </xf>
    <xf numFmtId="0" fontId="0" fillId="10" borderId="0" xfId="0" applyFill="1"/>
    <xf numFmtId="0" fontId="1" fillId="13" borderId="0" xfId="0" applyFont="1" applyFill="1" applyAlignment="1">
      <alignment horizontal="center" vertical="center"/>
    </xf>
    <xf numFmtId="0" fontId="1" fillId="14" borderId="0" xfId="0" applyFont="1" applyFill="1" applyAlignment="1">
      <alignment horizontal="center" vertical="center"/>
    </xf>
    <xf numFmtId="0" fontId="1" fillId="3" borderId="0" xfId="0" applyFont="1" applyFill="1" applyAlignment="1">
      <alignment horizontal="center" vertical="center"/>
    </xf>
    <xf numFmtId="0" fontId="1" fillId="15" borderId="0" xfId="0" applyFont="1" applyFill="1" applyAlignment="1">
      <alignment horizontal="center" vertical="center"/>
    </xf>
    <xf numFmtId="0" fontId="6" fillId="15" borderId="0" xfId="0" applyFont="1" applyFill="1" applyAlignment="1">
      <alignment horizontal="center" vertical="center"/>
    </xf>
    <xf numFmtId="14" fontId="6" fillId="0" borderId="0" xfId="0" applyNumberFormat="1" applyFont="1" applyAlignment="1">
      <alignment horizontal="center" vertical="center"/>
    </xf>
    <xf numFmtId="14" fontId="1" fillId="0" borderId="0" xfId="0" applyNumberFormat="1" applyFont="1" applyAlignment="1">
      <alignment horizontal="center" vertical="center"/>
    </xf>
    <xf numFmtId="0" fontId="15" fillId="2" borderId="0" xfId="0" applyFont="1" applyFill="1" applyAlignment="1">
      <alignment horizontal="center" vertical="center"/>
    </xf>
    <xf numFmtId="0" fontId="1" fillId="7" borderId="0" xfId="0" applyFont="1" applyFill="1" applyAlignment="1">
      <alignment horizontal="center" vertical="center"/>
    </xf>
    <xf numFmtId="0" fontId="6" fillId="7" borderId="0" xfId="0" applyFont="1" applyFill="1" applyAlignment="1">
      <alignment horizontal="center" vertical="center"/>
    </xf>
    <xf numFmtId="0" fontId="6" fillId="3" borderId="0" xfId="0" applyFont="1" applyFill="1" applyAlignment="1">
      <alignment horizontal="center" vertical="center"/>
    </xf>
    <xf numFmtId="0" fontId="1" fillId="9" borderId="0" xfId="0" applyFont="1" applyFill="1" applyAlignment="1">
      <alignment horizontal="center" vertical="center"/>
    </xf>
    <xf numFmtId="0" fontId="6" fillId="9" borderId="0" xfId="0" applyFont="1" applyFill="1" applyAlignment="1">
      <alignment horizontal="center" vertical="center"/>
    </xf>
    <xf numFmtId="0" fontId="13" fillId="3" borderId="0" xfId="0" applyFont="1" applyFill="1" applyAlignment="1">
      <alignment horizontal="center" vertical="center"/>
    </xf>
    <xf numFmtId="0" fontId="14" fillId="3" borderId="0" xfId="0" applyFont="1" applyFill="1" applyAlignment="1">
      <alignment horizontal="center" vertical="center"/>
    </xf>
    <xf numFmtId="0" fontId="13" fillId="9"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29" zoomScale="72" zoomScaleNormal="72" workbookViewId="0">
      <selection activeCell="A56" sqref="A56"/>
    </sheetView>
  </sheetViews>
  <sheetFormatPr defaultColWidth="14.3984375" defaultRowHeight="15" customHeight="1"/>
  <cols>
    <col min="1" max="1" width="76.59765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2"/>
      <c r="C6" s="2"/>
      <c r="D6" s="2"/>
      <c r="E6" s="2"/>
      <c r="F6" s="2"/>
      <c r="G6" s="2"/>
      <c r="H6" s="2"/>
      <c r="I6" s="2"/>
      <c r="J6" s="2"/>
      <c r="K6" s="2"/>
      <c r="L6" s="2"/>
      <c r="M6" s="2"/>
      <c r="N6" s="2"/>
      <c r="O6" s="2"/>
      <c r="P6" s="2"/>
      <c r="Q6" s="2"/>
      <c r="R6" s="2"/>
      <c r="S6" s="2"/>
      <c r="T6" s="2"/>
      <c r="U6" s="2"/>
      <c r="V6" s="2"/>
      <c r="W6" s="2"/>
      <c r="X6" s="2"/>
      <c r="Y6" s="2"/>
      <c r="Z6" s="2"/>
    </row>
    <row r="7" spans="1:26">
      <c r="A7" s="5" t="s">
        <v>4</v>
      </c>
      <c r="B7" s="2"/>
      <c r="C7" s="2"/>
      <c r="D7" s="2"/>
      <c r="E7" s="2"/>
      <c r="F7" s="2"/>
      <c r="G7" s="2"/>
      <c r="H7" s="2"/>
      <c r="I7" s="2"/>
      <c r="J7" s="2"/>
      <c r="K7" s="2"/>
      <c r="L7" s="2"/>
      <c r="M7" s="2"/>
      <c r="N7" s="2"/>
      <c r="O7" s="2"/>
      <c r="P7" s="2"/>
      <c r="Q7" s="2"/>
      <c r="R7" s="2"/>
      <c r="S7" s="2"/>
      <c r="T7" s="2"/>
      <c r="U7" s="2"/>
      <c r="V7" s="2"/>
      <c r="W7" s="2"/>
      <c r="X7" s="2"/>
      <c r="Y7" s="2"/>
      <c r="Z7" s="2"/>
    </row>
    <row r="8" spans="1:26">
      <c r="A8" s="5" t="s">
        <v>5</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1"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4"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4"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4"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4"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4"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4"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zoomScale="85" zoomScaleNormal="85" workbookViewId="0">
      <selection activeCell="H27" sqref="H27"/>
    </sheetView>
  </sheetViews>
  <sheetFormatPr defaultColWidth="14.3984375" defaultRowHeight="15" customHeight="1"/>
  <cols>
    <col min="1" max="1" width="10.265625" customWidth="1"/>
    <col min="2" max="2" width="10.3984375" customWidth="1"/>
    <col min="3" max="3" width="5.86328125" customWidth="1"/>
    <col min="4" max="4" width="7.59765625" customWidth="1"/>
    <col min="5" max="5" width="7.265625" customWidth="1"/>
    <col min="6" max="6" width="18.86328125" customWidth="1"/>
    <col min="7" max="7" width="12" bestFit="1" customWidth="1"/>
    <col min="8" max="8" width="12.59765625" bestFit="1" customWidth="1"/>
    <col min="9" max="9" width="8.73046875" customWidth="1"/>
    <col min="10" max="10" width="9.1328125" bestFit="1" customWidth="1"/>
    <col min="11" max="11" width="15.265625" bestFit="1" customWidth="1"/>
    <col min="12" max="12" width="8.73046875" customWidth="1"/>
    <col min="13" max="13" width="10.1328125" bestFit="1" customWidth="1"/>
    <col min="14" max="27" width="8.73046875" customWidth="1"/>
  </cols>
  <sheetData>
    <row r="1" spans="1:27" ht="14.25">
      <c r="A1" s="6" t="s">
        <v>41</v>
      </c>
      <c r="B1" s="6" t="s">
        <v>42</v>
      </c>
      <c r="C1" s="6" t="s">
        <v>43</v>
      </c>
      <c r="D1" s="6" t="s">
        <v>44</v>
      </c>
      <c r="E1" s="6" t="s">
        <v>45</v>
      </c>
      <c r="F1" s="6" t="s">
        <v>46</v>
      </c>
      <c r="G1" s="6" t="s">
        <v>130</v>
      </c>
      <c r="H1" s="6" t="s">
        <v>131</v>
      </c>
      <c r="I1" s="6" t="s">
        <v>132</v>
      </c>
      <c r="J1" s="6" t="s">
        <v>138</v>
      </c>
      <c r="K1" s="39" t="s">
        <v>166</v>
      </c>
      <c r="L1" s="7"/>
      <c r="M1" s="7"/>
      <c r="N1" s="7"/>
      <c r="O1" s="7"/>
      <c r="P1" s="7"/>
      <c r="Q1" s="7"/>
      <c r="R1" s="7"/>
      <c r="S1" s="7"/>
      <c r="T1" s="7"/>
      <c r="U1" s="7"/>
      <c r="V1" s="7"/>
      <c r="W1" s="7"/>
      <c r="X1" s="7"/>
      <c r="Y1" s="7"/>
      <c r="Z1" s="7"/>
      <c r="AA1" s="7"/>
    </row>
    <row r="2" spans="1:27" ht="14.25">
      <c r="A2" s="8">
        <v>1001</v>
      </c>
      <c r="B2" s="8" t="s">
        <v>47</v>
      </c>
      <c r="C2" s="8">
        <v>61</v>
      </c>
      <c r="D2" s="8">
        <v>48</v>
      </c>
      <c r="E2" s="8">
        <v>76</v>
      </c>
      <c r="F2" s="9">
        <v>43101</v>
      </c>
      <c r="G2" s="7">
        <f>SUM(C2:E2)</f>
        <v>185</v>
      </c>
      <c r="H2" s="10">
        <f>(G2*100)/300</f>
        <v>61.666666666666664</v>
      </c>
      <c r="I2" s="7" t="str">
        <f>IF(H2&gt;=90,"A",IF(H2&gt;=80,"B",IF(H2&gt;=70,"C",IF(H2&gt;=60,"D","F"))))</f>
        <v>D</v>
      </c>
      <c r="J2" s="7" t="str">
        <f>IF(AND(C2&gt;=80,D2&gt;=80),"Good","Bad")</f>
        <v>Bad</v>
      </c>
      <c r="K2" s="7" t="str">
        <f>IF(H2&gt;75,"top-performing","Last-Performing")</f>
        <v>Last-Performing</v>
      </c>
      <c r="L2" s="45" t="s">
        <v>133</v>
      </c>
      <c r="M2" s="45"/>
      <c r="N2" s="45"/>
      <c r="O2" s="45"/>
      <c r="P2" s="45"/>
      <c r="Q2" s="45"/>
      <c r="R2" s="45"/>
      <c r="S2" s="7"/>
      <c r="T2" s="7"/>
      <c r="U2" s="7"/>
      <c r="V2" s="7"/>
      <c r="W2" s="7"/>
      <c r="X2" s="7"/>
      <c r="Y2" s="7"/>
      <c r="Z2" s="7"/>
      <c r="AA2" s="7"/>
    </row>
    <row r="3" spans="1:27" ht="14.25">
      <c r="A3" s="8">
        <v>1002</v>
      </c>
      <c r="B3" s="8" t="s">
        <v>48</v>
      </c>
      <c r="C3" s="8">
        <v>78</v>
      </c>
      <c r="D3" s="8">
        <v>76</v>
      </c>
      <c r="E3" s="8">
        <v>70</v>
      </c>
      <c r="F3" s="9">
        <v>43281</v>
      </c>
      <c r="G3" s="7">
        <f t="shared" ref="G3:G21" si="0">SUM(C3:E3)</f>
        <v>224</v>
      </c>
      <c r="H3" s="10">
        <f t="shared" ref="H3:H21" si="1">(G3*100)/300</f>
        <v>74.666666666666671</v>
      </c>
      <c r="I3" s="7" t="str">
        <f t="shared" ref="I3:I21" si="2">IF(H3&gt;=90,"A",IF(H3&gt;=80,"B",IF(H3&gt;=70,"C",IF(H3&gt;=60,"D","F"))))</f>
        <v>C</v>
      </c>
      <c r="J3" s="7" t="str">
        <f t="shared" ref="J3:J21" si="3">IF(AND(C3&gt;=80,D3&gt;=80),"Good","Bad")</f>
        <v>Bad</v>
      </c>
      <c r="K3" s="7" t="str">
        <f t="shared" ref="K3:K22" si="4">IF(H3&gt;75,"top-performing","Last-Performing")</f>
        <v>Last-Performing</v>
      </c>
      <c r="L3" s="45"/>
      <c r="M3" s="45"/>
      <c r="N3" s="45"/>
      <c r="O3" s="45"/>
      <c r="P3" s="45"/>
      <c r="Q3" s="45"/>
      <c r="R3" s="45"/>
      <c r="S3" s="7"/>
      <c r="T3" s="7"/>
      <c r="U3" s="7"/>
      <c r="V3" s="7"/>
      <c r="W3" s="7"/>
      <c r="X3" s="7"/>
      <c r="Y3" s="7"/>
      <c r="Z3" s="7"/>
      <c r="AA3" s="7"/>
    </row>
    <row r="4" spans="1:27" ht="14.25">
      <c r="A4" s="8">
        <v>1003</v>
      </c>
      <c r="B4" s="8" t="s">
        <v>49</v>
      </c>
      <c r="C4" s="8">
        <v>97</v>
      </c>
      <c r="D4" s="8">
        <v>90</v>
      </c>
      <c r="E4" s="8">
        <v>51</v>
      </c>
      <c r="F4" s="9">
        <v>43461</v>
      </c>
      <c r="G4" s="7">
        <f t="shared" si="0"/>
        <v>238</v>
      </c>
      <c r="H4" s="10">
        <f t="shared" si="1"/>
        <v>79.333333333333329</v>
      </c>
      <c r="I4" s="7" t="str">
        <f t="shared" si="2"/>
        <v>C</v>
      </c>
      <c r="J4" s="7" t="str">
        <f t="shared" si="3"/>
        <v>Good</v>
      </c>
      <c r="K4" s="7" t="str">
        <f t="shared" si="4"/>
        <v>top-performing</v>
      </c>
      <c r="L4" s="7"/>
      <c r="M4" s="7"/>
      <c r="N4" s="7"/>
      <c r="O4" s="7"/>
      <c r="P4" s="7"/>
      <c r="Q4" s="7"/>
      <c r="R4" s="7"/>
      <c r="S4" s="7"/>
      <c r="T4" s="7"/>
      <c r="U4" s="7"/>
      <c r="V4" s="7"/>
      <c r="W4" s="7"/>
      <c r="X4" s="7"/>
      <c r="Y4" s="7"/>
      <c r="Z4" s="7"/>
      <c r="AA4" s="7"/>
    </row>
    <row r="5" spans="1:27" ht="14.25">
      <c r="A5" s="8">
        <v>1004</v>
      </c>
      <c r="B5" s="8" t="s">
        <v>50</v>
      </c>
      <c r="C5" s="8">
        <v>74</v>
      </c>
      <c r="D5" s="8">
        <v>55</v>
      </c>
      <c r="E5" s="8">
        <v>46</v>
      </c>
      <c r="F5" s="9">
        <v>43641</v>
      </c>
      <c r="G5" s="7">
        <f t="shared" si="0"/>
        <v>175</v>
      </c>
      <c r="H5" s="10">
        <f t="shared" si="1"/>
        <v>58.333333333333336</v>
      </c>
      <c r="I5" s="7" t="str">
        <f t="shared" si="2"/>
        <v>F</v>
      </c>
      <c r="J5" s="7" t="str">
        <f t="shared" si="3"/>
        <v>Bad</v>
      </c>
      <c r="K5" s="7" t="str">
        <f t="shared" si="4"/>
        <v>Last-Performing</v>
      </c>
      <c r="L5" s="14" t="s">
        <v>140</v>
      </c>
      <c r="M5" s="12">
        <f>COUNTIFS(C2:C21,"&gt;=60",D2:D21,"&gt;=60",E2:E21,"&gt;=60")</f>
        <v>8</v>
      </c>
      <c r="N5" s="7"/>
      <c r="O5" s="7"/>
      <c r="P5" s="7"/>
      <c r="Q5" s="7"/>
      <c r="R5" s="7"/>
      <c r="S5" s="7"/>
      <c r="T5" s="7"/>
      <c r="U5" s="7"/>
      <c r="V5" s="7"/>
      <c r="W5" s="7"/>
      <c r="X5" s="7"/>
      <c r="Y5" s="7"/>
      <c r="Z5" s="7"/>
      <c r="AA5" s="7"/>
    </row>
    <row r="6" spans="1:27" ht="14.25">
      <c r="A6" s="8">
        <v>1005</v>
      </c>
      <c r="B6" s="8" t="s">
        <v>51</v>
      </c>
      <c r="C6" s="8">
        <v>68</v>
      </c>
      <c r="D6" s="8">
        <v>74</v>
      </c>
      <c r="E6" s="8">
        <v>84</v>
      </c>
      <c r="F6" s="9">
        <v>43821</v>
      </c>
      <c r="G6" s="7">
        <f t="shared" si="0"/>
        <v>226</v>
      </c>
      <c r="H6" s="10">
        <f t="shared" si="1"/>
        <v>75.333333333333329</v>
      </c>
      <c r="I6" s="7" t="str">
        <f t="shared" si="2"/>
        <v>C</v>
      </c>
      <c r="J6" s="7" t="str">
        <f t="shared" si="3"/>
        <v>Bad</v>
      </c>
      <c r="K6" s="7" t="str">
        <f t="shared" si="4"/>
        <v>top-performing</v>
      </c>
      <c r="L6" s="7"/>
      <c r="M6" s="7"/>
      <c r="N6" s="7"/>
      <c r="O6" s="7"/>
      <c r="P6" s="7"/>
      <c r="Q6" s="7"/>
      <c r="R6" s="7"/>
      <c r="S6" s="7"/>
      <c r="T6" s="7"/>
      <c r="U6" s="7"/>
      <c r="V6" s="7"/>
      <c r="W6" s="7"/>
      <c r="X6" s="7"/>
      <c r="Y6" s="7"/>
      <c r="Z6" s="7"/>
      <c r="AA6" s="7"/>
    </row>
    <row r="7" spans="1:27" ht="14.25">
      <c r="A7" s="8">
        <v>1006</v>
      </c>
      <c r="B7" s="8" t="s">
        <v>52</v>
      </c>
      <c r="C7" s="8">
        <v>80</v>
      </c>
      <c r="D7" s="8">
        <v>70</v>
      </c>
      <c r="E7" s="8">
        <v>65</v>
      </c>
      <c r="F7" s="9">
        <v>44001</v>
      </c>
      <c r="G7" s="7">
        <f t="shared" si="0"/>
        <v>215</v>
      </c>
      <c r="H7" s="10">
        <f t="shared" si="1"/>
        <v>71.666666666666671</v>
      </c>
      <c r="I7" s="7" t="str">
        <f t="shared" si="2"/>
        <v>C</v>
      </c>
      <c r="J7" s="7" t="str">
        <f t="shared" si="3"/>
        <v>Bad</v>
      </c>
      <c r="K7" s="7" t="str">
        <f t="shared" si="4"/>
        <v>Last-Performing</v>
      </c>
      <c r="L7" s="7"/>
      <c r="M7" s="46" t="s">
        <v>141</v>
      </c>
      <c r="N7" s="46"/>
      <c r="O7" s="46"/>
      <c r="P7" s="46"/>
      <c r="Q7" s="46"/>
      <c r="R7" s="7"/>
      <c r="S7" s="7"/>
      <c r="T7" s="7"/>
      <c r="U7" s="7"/>
      <c r="V7" s="7"/>
      <c r="W7" s="7"/>
      <c r="X7" s="7"/>
      <c r="Y7" s="7"/>
      <c r="Z7" s="7"/>
      <c r="AA7" s="7"/>
    </row>
    <row r="8" spans="1:27" ht="14.25">
      <c r="A8" s="8">
        <v>1007</v>
      </c>
      <c r="B8" s="8" t="s">
        <v>53</v>
      </c>
      <c r="C8" s="8">
        <v>75</v>
      </c>
      <c r="D8" s="8">
        <v>47</v>
      </c>
      <c r="E8" s="8">
        <v>78</v>
      </c>
      <c r="F8" s="9">
        <v>44181</v>
      </c>
      <c r="G8" s="7">
        <f t="shared" si="0"/>
        <v>200</v>
      </c>
      <c r="H8" s="10">
        <f t="shared" si="1"/>
        <v>66.666666666666671</v>
      </c>
      <c r="I8" s="7" t="str">
        <f t="shared" si="2"/>
        <v>D</v>
      </c>
      <c r="J8" s="7" t="str">
        <f t="shared" si="3"/>
        <v>Bad</v>
      </c>
      <c r="K8" s="7" t="str">
        <f t="shared" si="4"/>
        <v>Last-Performing</v>
      </c>
      <c r="L8" s="7"/>
      <c r="M8" s="46"/>
      <c r="N8" s="46"/>
      <c r="O8" s="46"/>
      <c r="P8" s="46"/>
      <c r="Q8" s="46"/>
      <c r="R8" s="7"/>
      <c r="S8" s="7"/>
      <c r="T8" s="7"/>
      <c r="U8" s="7"/>
      <c r="V8" s="7"/>
      <c r="W8" s="7"/>
      <c r="X8" s="7"/>
      <c r="Y8" s="7"/>
      <c r="Z8" s="7"/>
      <c r="AA8" s="7"/>
    </row>
    <row r="9" spans="1:27" ht="14.25">
      <c r="A9" s="8">
        <v>1008</v>
      </c>
      <c r="B9" s="8" t="s">
        <v>54</v>
      </c>
      <c r="C9" s="8">
        <v>94</v>
      </c>
      <c r="D9" s="8">
        <v>67</v>
      </c>
      <c r="E9" s="8">
        <v>64</v>
      </c>
      <c r="F9" s="9">
        <v>44361</v>
      </c>
      <c r="G9" s="7">
        <f t="shared" si="0"/>
        <v>225</v>
      </c>
      <c r="H9" s="10">
        <f t="shared" si="1"/>
        <v>75</v>
      </c>
      <c r="I9" s="7" t="str">
        <f t="shared" si="2"/>
        <v>C</v>
      </c>
      <c r="J9" s="7" t="str">
        <f t="shared" si="3"/>
        <v>Bad</v>
      </c>
      <c r="K9" s="7" t="str">
        <f t="shared" si="4"/>
        <v>Last-Performing</v>
      </c>
      <c r="L9" s="7"/>
      <c r="M9" s="7"/>
      <c r="N9" s="7"/>
      <c r="O9" s="7"/>
      <c r="P9" s="7"/>
      <c r="Q9" s="7"/>
      <c r="R9" s="7"/>
      <c r="S9" s="7"/>
      <c r="T9" s="7"/>
      <c r="U9" s="7"/>
      <c r="V9" s="7"/>
      <c r="W9" s="7"/>
      <c r="X9" s="7"/>
      <c r="Y9" s="7"/>
      <c r="Z9" s="7"/>
      <c r="AA9" s="7"/>
    </row>
    <row r="10" spans="1:27" ht="14.25">
      <c r="A10" s="8">
        <v>1009</v>
      </c>
      <c r="B10" s="8" t="s">
        <v>55</v>
      </c>
      <c r="C10" s="8">
        <v>41</v>
      </c>
      <c r="D10" s="8">
        <v>75</v>
      </c>
      <c r="E10" s="8">
        <v>56</v>
      </c>
      <c r="F10" s="9">
        <v>44541</v>
      </c>
      <c r="G10" s="7">
        <f t="shared" si="0"/>
        <v>172</v>
      </c>
      <c r="H10" s="10">
        <f t="shared" si="1"/>
        <v>57.333333333333336</v>
      </c>
      <c r="I10" s="7" t="str">
        <f t="shared" si="2"/>
        <v>F</v>
      </c>
      <c r="J10" s="7" t="str">
        <f t="shared" si="3"/>
        <v>Bad</v>
      </c>
      <c r="K10" s="7" t="str">
        <f t="shared" si="4"/>
        <v>Last-Performing</v>
      </c>
      <c r="L10" s="7"/>
      <c r="M10" s="7"/>
      <c r="N10" s="15" t="s">
        <v>140</v>
      </c>
      <c r="O10" s="12">
        <f>COUNTIFS(C2:C21,"&gt;50")</f>
        <v>19</v>
      </c>
      <c r="P10" s="7"/>
      <c r="Q10" s="7"/>
      <c r="R10" s="7"/>
      <c r="S10" s="7"/>
      <c r="T10" s="7"/>
      <c r="U10" s="7"/>
      <c r="V10" s="7"/>
      <c r="W10" s="7"/>
      <c r="X10" s="7"/>
      <c r="Y10" s="7"/>
      <c r="Z10" s="7"/>
      <c r="AA10" s="7"/>
    </row>
    <row r="11" spans="1:27" ht="14.25">
      <c r="A11" s="8">
        <v>1010</v>
      </c>
      <c r="B11" s="8" t="s">
        <v>56</v>
      </c>
      <c r="C11" s="8">
        <v>98</v>
      </c>
      <c r="D11" s="8">
        <v>54</v>
      </c>
      <c r="E11" s="8">
        <v>58</v>
      </c>
      <c r="F11" s="9">
        <v>44721</v>
      </c>
      <c r="G11" s="7">
        <f t="shared" si="0"/>
        <v>210</v>
      </c>
      <c r="H11" s="10">
        <f t="shared" si="1"/>
        <v>70</v>
      </c>
      <c r="I11" s="7" t="str">
        <f t="shared" si="2"/>
        <v>C</v>
      </c>
      <c r="J11" s="7" t="str">
        <f t="shared" si="3"/>
        <v>Bad</v>
      </c>
      <c r="K11" s="7" t="str">
        <f t="shared" si="4"/>
        <v>Last-Performing</v>
      </c>
      <c r="L11" s="7"/>
      <c r="M11" s="7"/>
      <c r="N11" s="7"/>
      <c r="O11" s="7"/>
      <c r="P11" s="7"/>
      <c r="Q11" s="7"/>
      <c r="R11" s="7"/>
      <c r="S11" s="7"/>
      <c r="T11" s="7"/>
      <c r="U11" s="7"/>
      <c r="V11" s="7"/>
      <c r="W11" s="7"/>
      <c r="X11" s="7"/>
      <c r="Y11" s="7"/>
      <c r="Z11" s="7"/>
      <c r="AA11" s="7"/>
    </row>
    <row r="12" spans="1:27" ht="14.25">
      <c r="A12" s="8">
        <v>1011</v>
      </c>
      <c r="B12" s="8" t="s">
        <v>57</v>
      </c>
      <c r="C12" s="8">
        <v>73</v>
      </c>
      <c r="D12" s="8">
        <v>79</v>
      </c>
      <c r="E12" s="8">
        <v>53</v>
      </c>
      <c r="F12" s="9">
        <v>44901</v>
      </c>
      <c r="G12" s="7">
        <f t="shared" si="0"/>
        <v>205</v>
      </c>
      <c r="H12" s="10">
        <f t="shared" si="1"/>
        <v>68.333333333333329</v>
      </c>
      <c r="I12" s="7" t="str">
        <f t="shared" si="2"/>
        <v>D</v>
      </c>
      <c r="J12" s="7" t="str">
        <f t="shared" si="3"/>
        <v>Bad</v>
      </c>
      <c r="K12" s="7" t="str">
        <f t="shared" si="4"/>
        <v>Last-Performing</v>
      </c>
      <c r="L12" s="7"/>
      <c r="M12" s="7"/>
      <c r="N12" s="7"/>
      <c r="O12" s="7"/>
      <c r="P12" s="7"/>
      <c r="Q12" s="7"/>
      <c r="R12" s="7"/>
      <c r="S12" s="7"/>
      <c r="T12" s="7"/>
      <c r="U12" s="7"/>
      <c r="V12" s="7"/>
      <c r="W12" s="7"/>
      <c r="X12" s="7"/>
      <c r="Y12" s="7"/>
      <c r="Z12" s="7"/>
      <c r="AA12" s="7"/>
    </row>
    <row r="13" spans="1:27" ht="14.25">
      <c r="A13" s="8">
        <v>1012</v>
      </c>
      <c r="B13" s="8" t="s">
        <v>58</v>
      </c>
      <c r="C13" s="8">
        <v>85</v>
      </c>
      <c r="D13" s="8">
        <v>89</v>
      </c>
      <c r="E13" s="8">
        <v>79</v>
      </c>
      <c r="F13" s="9">
        <v>45081</v>
      </c>
      <c r="G13" s="7">
        <f t="shared" si="0"/>
        <v>253</v>
      </c>
      <c r="H13" s="10">
        <f t="shared" si="1"/>
        <v>84.333333333333329</v>
      </c>
      <c r="I13" s="7" t="str">
        <f t="shared" si="2"/>
        <v>B</v>
      </c>
      <c r="J13" s="7" t="str">
        <f t="shared" si="3"/>
        <v>Good</v>
      </c>
      <c r="K13" s="7" t="str">
        <f t="shared" si="4"/>
        <v>top-performing</v>
      </c>
      <c r="L13" s="7"/>
      <c r="M13" s="45" t="s">
        <v>145</v>
      </c>
      <c r="N13" s="45"/>
      <c r="O13" s="45"/>
      <c r="P13" s="45"/>
      <c r="Q13" s="45"/>
      <c r="R13" s="7"/>
      <c r="S13" s="7"/>
      <c r="T13" s="7"/>
      <c r="U13" s="7"/>
      <c r="V13" s="7"/>
      <c r="W13" s="7"/>
      <c r="X13" s="7"/>
      <c r="Y13" s="7"/>
      <c r="Z13" s="7"/>
      <c r="AA13" s="7"/>
    </row>
    <row r="14" spans="1:27" ht="14.25">
      <c r="A14" s="8">
        <v>1013</v>
      </c>
      <c r="B14" s="8" t="s">
        <v>59</v>
      </c>
      <c r="C14" s="8">
        <v>98</v>
      </c>
      <c r="D14" s="8">
        <v>90</v>
      </c>
      <c r="E14" s="8">
        <v>97</v>
      </c>
      <c r="F14" s="9">
        <v>45261</v>
      </c>
      <c r="G14" s="7">
        <f t="shared" si="0"/>
        <v>285</v>
      </c>
      <c r="H14" s="10">
        <f t="shared" si="1"/>
        <v>95</v>
      </c>
      <c r="I14" s="7" t="str">
        <f t="shared" si="2"/>
        <v>A</v>
      </c>
      <c r="J14" s="7" t="str">
        <f t="shared" si="3"/>
        <v>Good</v>
      </c>
      <c r="K14" s="7" t="str">
        <f t="shared" si="4"/>
        <v>top-performing</v>
      </c>
      <c r="L14" s="7"/>
      <c r="M14" s="45"/>
      <c r="N14" s="45"/>
      <c r="O14" s="45"/>
      <c r="P14" s="45"/>
      <c r="Q14" s="45"/>
      <c r="R14" s="7"/>
      <c r="S14" s="7"/>
      <c r="T14" s="7"/>
      <c r="U14" s="7"/>
      <c r="V14" s="7"/>
      <c r="W14" s="7"/>
      <c r="X14" s="7"/>
      <c r="Y14" s="7"/>
      <c r="Z14" s="7"/>
      <c r="AA14" s="7"/>
    </row>
    <row r="15" spans="1:27" ht="14.25">
      <c r="A15" s="8">
        <v>1014</v>
      </c>
      <c r="B15" s="8" t="s">
        <v>60</v>
      </c>
      <c r="C15" s="8">
        <v>93</v>
      </c>
      <c r="D15" s="8">
        <v>40</v>
      </c>
      <c r="E15" s="8">
        <v>44</v>
      </c>
      <c r="F15" s="9">
        <v>45441</v>
      </c>
      <c r="G15" s="7">
        <f t="shared" si="0"/>
        <v>177</v>
      </c>
      <c r="H15" s="10">
        <f t="shared" si="1"/>
        <v>59</v>
      </c>
      <c r="I15" s="7" t="str">
        <f t="shared" si="2"/>
        <v>F</v>
      </c>
      <c r="J15" s="7" t="str">
        <f t="shared" si="3"/>
        <v>Bad</v>
      </c>
      <c r="K15" s="7" t="str">
        <f t="shared" si="4"/>
        <v>Last-Performing</v>
      </c>
      <c r="L15" s="7"/>
      <c r="M15" s="7"/>
      <c r="N15" s="7"/>
      <c r="O15" s="7"/>
      <c r="P15" s="7"/>
      <c r="Q15" s="7"/>
      <c r="R15" s="7"/>
      <c r="S15" s="7"/>
      <c r="T15" s="7"/>
      <c r="U15" s="7"/>
      <c r="V15" s="7"/>
      <c r="W15" s="7"/>
      <c r="X15" s="7"/>
      <c r="Y15" s="7"/>
      <c r="Z15" s="7"/>
      <c r="AA15" s="7"/>
    </row>
    <row r="16" spans="1:27" ht="14.25">
      <c r="A16" s="8">
        <v>1015</v>
      </c>
      <c r="B16" s="8" t="s">
        <v>61</v>
      </c>
      <c r="C16" s="8">
        <v>70</v>
      </c>
      <c r="D16" s="8">
        <v>51</v>
      </c>
      <c r="E16" s="8">
        <v>75</v>
      </c>
      <c r="F16" s="9">
        <v>45621</v>
      </c>
      <c r="G16" s="7">
        <f t="shared" si="0"/>
        <v>196</v>
      </c>
      <c r="H16" s="10">
        <f t="shared" si="1"/>
        <v>65.333333333333329</v>
      </c>
      <c r="I16" s="7" t="str">
        <f t="shared" si="2"/>
        <v>D</v>
      </c>
      <c r="J16" s="7" t="str">
        <f t="shared" si="3"/>
        <v>Bad</v>
      </c>
      <c r="K16" s="7" t="str">
        <f t="shared" si="4"/>
        <v>Last-Performing</v>
      </c>
      <c r="L16" s="7"/>
      <c r="M16" s="7"/>
      <c r="N16" s="7"/>
      <c r="O16" s="7"/>
      <c r="P16" s="7"/>
      <c r="Q16" s="7"/>
      <c r="R16" s="7"/>
      <c r="S16" s="7"/>
      <c r="T16" s="7"/>
      <c r="U16" s="7"/>
      <c r="V16" s="7"/>
      <c r="W16" s="7"/>
      <c r="X16" s="7"/>
      <c r="Y16" s="7"/>
      <c r="Z16" s="7"/>
      <c r="AA16" s="7"/>
    </row>
    <row r="17" spans="1:27" ht="14.25">
      <c r="A17" s="8">
        <v>1016</v>
      </c>
      <c r="B17" s="8" t="s">
        <v>62</v>
      </c>
      <c r="C17" s="8">
        <v>98</v>
      </c>
      <c r="D17" s="8">
        <v>77</v>
      </c>
      <c r="E17" s="8">
        <v>60</v>
      </c>
      <c r="F17" s="9">
        <v>45801</v>
      </c>
      <c r="G17" s="7">
        <f t="shared" si="0"/>
        <v>235</v>
      </c>
      <c r="H17" s="10">
        <f t="shared" si="1"/>
        <v>78.333333333333329</v>
      </c>
      <c r="I17" s="7" t="str">
        <f t="shared" si="2"/>
        <v>C</v>
      </c>
      <c r="J17" s="7" t="str">
        <f t="shared" si="3"/>
        <v>Bad</v>
      </c>
      <c r="K17" s="7" t="str">
        <f t="shared" si="4"/>
        <v>top-performing</v>
      </c>
      <c r="L17" s="7"/>
      <c r="M17" s="15" t="s">
        <v>140</v>
      </c>
      <c r="N17" s="12">
        <f>AVERAGEIFS(H2:H21,'Students Grade'!I2:I21,'Students Grade'!I4)</f>
        <v>75.222222222222229</v>
      </c>
      <c r="O17" s="7"/>
      <c r="P17" s="7"/>
      <c r="Q17" s="7"/>
      <c r="R17" s="7"/>
      <c r="S17" s="7"/>
      <c r="T17" s="7"/>
      <c r="U17" s="7"/>
      <c r="V17" s="7"/>
      <c r="W17" s="7"/>
      <c r="X17" s="7"/>
      <c r="Y17" s="7"/>
      <c r="Z17" s="7"/>
      <c r="AA17" s="7"/>
    </row>
    <row r="18" spans="1:27" ht="14.25">
      <c r="A18" s="8">
        <v>1017</v>
      </c>
      <c r="B18" s="8" t="s">
        <v>63</v>
      </c>
      <c r="C18" s="8">
        <v>66</v>
      </c>
      <c r="D18" s="8">
        <v>59</v>
      </c>
      <c r="E18" s="8">
        <v>40</v>
      </c>
      <c r="F18" s="9">
        <v>45981</v>
      </c>
      <c r="G18" s="7">
        <f t="shared" si="0"/>
        <v>165</v>
      </c>
      <c r="H18" s="10">
        <f t="shared" si="1"/>
        <v>55</v>
      </c>
      <c r="I18" s="7" t="str">
        <f t="shared" si="2"/>
        <v>F</v>
      </c>
      <c r="J18" s="7" t="str">
        <f t="shared" si="3"/>
        <v>Bad</v>
      </c>
      <c r="K18" s="7" t="str">
        <f t="shared" si="4"/>
        <v>Last-Performing</v>
      </c>
      <c r="L18" s="7"/>
      <c r="M18" s="7"/>
      <c r="N18" s="7"/>
      <c r="O18" s="7"/>
      <c r="P18" s="7"/>
      <c r="Q18" s="7"/>
      <c r="R18" s="7"/>
      <c r="S18" s="7"/>
      <c r="T18" s="7"/>
      <c r="U18" s="7"/>
      <c r="V18" s="7"/>
      <c r="W18" s="7"/>
      <c r="X18" s="7"/>
      <c r="Y18" s="7"/>
      <c r="Z18" s="7"/>
      <c r="AA18" s="7"/>
    </row>
    <row r="19" spans="1:27" ht="14.25">
      <c r="A19" s="8">
        <v>1018</v>
      </c>
      <c r="B19" s="8" t="s">
        <v>64</v>
      </c>
      <c r="C19" s="8">
        <v>82</v>
      </c>
      <c r="D19" s="8">
        <v>48</v>
      </c>
      <c r="E19" s="8">
        <v>79</v>
      </c>
      <c r="F19" s="9">
        <v>46161</v>
      </c>
      <c r="G19" s="7">
        <f t="shared" si="0"/>
        <v>209</v>
      </c>
      <c r="H19" s="10">
        <f t="shared" si="1"/>
        <v>69.666666666666671</v>
      </c>
      <c r="I19" s="7" t="str">
        <f t="shared" si="2"/>
        <v>D</v>
      </c>
      <c r="J19" s="7" t="str">
        <f t="shared" si="3"/>
        <v>Bad</v>
      </c>
      <c r="K19" s="7" t="str">
        <f t="shared" si="4"/>
        <v>Last-Performing</v>
      </c>
      <c r="L19" s="7"/>
      <c r="M19" s="47" t="s">
        <v>147</v>
      </c>
      <c r="N19" s="47"/>
      <c r="O19" s="47"/>
      <c r="P19" s="47"/>
      <c r="Q19" s="47"/>
      <c r="R19" s="7"/>
      <c r="S19" s="7"/>
      <c r="T19" s="7"/>
      <c r="U19" s="7"/>
      <c r="V19" s="7"/>
      <c r="W19" s="7"/>
      <c r="X19" s="7"/>
      <c r="Y19" s="7"/>
      <c r="Z19" s="7"/>
      <c r="AA19" s="7"/>
    </row>
    <row r="20" spans="1:27" ht="14.25">
      <c r="A20" s="8">
        <v>1019</v>
      </c>
      <c r="B20" s="8" t="s">
        <v>65</v>
      </c>
      <c r="C20" s="8">
        <v>90</v>
      </c>
      <c r="D20" s="8">
        <v>78</v>
      </c>
      <c r="E20" s="8">
        <v>60</v>
      </c>
      <c r="F20" s="9">
        <v>46341</v>
      </c>
      <c r="G20" s="7">
        <f t="shared" si="0"/>
        <v>228</v>
      </c>
      <c r="H20" s="10">
        <f t="shared" si="1"/>
        <v>76</v>
      </c>
      <c r="I20" s="7" t="str">
        <f t="shared" si="2"/>
        <v>C</v>
      </c>
      <c r="J20" s="7" t="str">
        <f t="shared" si="3"/>
        <v>Bad</v>
      </c>
      <c r="K20" s="7" t="str">
        <f t="shared" si="4"/>
        <v>top-performing</v>
      </c>
      <c r="L20" s="7"/>
      <c r="M20" s="47"/>
      <c r="N20" s="47"/>
      <c r="O20" s="47"/>
      <c r="P20" s="47"/>
      <c r="Q20" s="47"/>
      <c r="R20" s="7"/>
      <c r="S20" s="7"/>
      <c r="T20" s="7"/>
      <c r="U20" s="7"/>
      <c r="V20" s="7"/>
      <c r="W20" s="7"/>
      <c r="X20" s="7"/>
      <c r="Y20" s="7"/>
      <c r="Z20" s="7"/>
      <c r="AA20" s="7"/>
    </row>
    <row r="21" spans="1:27" ht="15.75" customHeight="1">
      <c r="A21" s="8">
        <v>1020</v>
      </c>
      <c r="B21" s="8" t="s">
        <v>66</v>
      </c>
      <c r="C21" s="8">
        <v>83</v>
      </c>
      <c r="D21" s="8">
        <v>92</v>
      </c>
      <c r="E21" s="8">
        <v>55</v>
      </c>
      <c r="F21" s="9">
        <v>46521</v>
      </c>
      <c r="G21" s="7">
        <f t="shared" si="0"/>
        <v>230</v>
      </c>
      <c r="H21" s="10">
        <f t="shared" si="1"/>
        <v>76.666666666666671</v>
      </c>
      <c r="I21" s="7" t="str">
        <f t="shared" si="2"/>
        <v>C</v>
      </c>
      <c r="J21" s="7" t="str">
        <f t="shared" si="3"/>
        <v>Good</v>
      </c>
      <c r="K21" s="7" t="str">
        <f t="shared" si="4"/>
        <v>top-performing</v>
      </c>
      <c r="L21" s="7"/>
      <c r="M21" s="20" t="s">
        <v>148</v>
      </c>
      <c r="N21" s="20" t="s">
        <v>42</v>
      </c>
      <c r="O21" s="7"/>
      <c r="P21" s="7"/>
      <c r="Q21" s="7"/>
      <c r="R21" s="7"/>
      <c r="S21" s="7"/>
      <c r="T21" s="7"/>
      <c r="U21" s="7"/>
      <c r="V21" s="7"/>
      <c r="W21" s="7"/>
      <c r="X21" s="7"/>
      <c r="Y21" s="7"/>
      <c r="Z21" s="7"/>
      <c r="AA21" s="7"/>
    </row>
    <row r="22" spans="1:27" ht="15.75" customHeight="1">
      <c r="A22" s="7"/>
      <c r="B22" s="7"/>
      <c r="C22" s="7"/>
      <c r="D22" s="7"/>
      <c r="E22" s="7"/>
      <c r="F22" s="7"/>
      <c r="G22" s="7"/>
      <c r="H22" s="7"/>
      <c r="I22" s="7"/>
      <c r="J22" s="7"/>
      <c r="K22" s="7" t="str">
        <f t="shared" si="4"/>
        <v>Last-Performing</v>
      </c>
      <c r="L22" s="7"/>
      <c r="M22" s="19">
        <v>1001</v>
      </c>
      <c r="N22" s="19" t="str">
        <f>VLOOKUP(M22,A2:B21,2,0)</f>
        <v>Student 1</v>
      </c>
      <c r="O22" s="7"/>
      <c r="P22" s="7"/>
      <c r="Q22" s="7"/>
      <c r="R22" s="7"/>
      <c r="S22" s="7"/>
      <c r="T22" s="7"/>
      <c r="U22" s="7"/>
      <c r="V22" s="7"/>
      <c r="W22" s="7"/>
      <c r="X22" s="7"/>
      <c r="Y22" s="7"/>
      <c r="Z22" s="7"/>
      <c r="AA22" s="7"/>
    </row>
    <row r="23" spans="1:27"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5.75" customHeight="1">
      <c r="A24" s="7"/>
      <c r="B24" s="7"/>
      <c r="C24" s="7"/>
      <c r="D24" s="7"/>
      <c r="E24" s="7"/>
      <c r="F24" s="43" t="s">
        <v>162</v>
      </c>
      <c r="G24" s="44"/>
      <c r="H24" s="44"/>
      <c r="I24" s="44"/>
      <c r="J24" s="7"/>
      <c r="K24" s="7"/>
      <c r="L24" s="27" t="s">
        <v>167</v>
      </c>
      <c r="M24" s="7"/>
      <c r="N24" s="7"/>
      <c r="O24" s="7"/>
      <c r="P24" s="7"/>
      <c r="Q24" s="7"/>
      <c r="R24" s="7"/>
      <c r="S24" s="7"/>
      <c r="T24" s="7"/>
      <c r="U24" s="7"/>
      <c r="V24" s="7"/>
      <c r="W24" s="7"/>
      <c r="X24" s="7"/>
      <c r="Y24" s="7"/>
      <c r="Z24" s="7"/>
      <c r="AA24" s="7"/>
    </row>
    <row r="25" spans="1:27" ht="15.75" customHeight="1">
      <c r="A25" s="7"/>
      <c r="B25" s="7"/>
      <c r="C25" s="7"/>
      <c r="D25" s="7"/>
      <c r="E25" s="7"/>
      <c r="F25" s="44"/>
      <c r="G25" s="44"/>
      <c r="H25" s="44"/>
      <c r="I25" s="44"/>
      <c r="J25" s="7"/>
      <c r="K25" s="7"/>
      <c r="L25" s="7"/>
      <c r="M25" s="7"/>
      <c r="N25" s="7"/>
      <c r="O25" s="7"/>
      <c r="P25" s="7"/>
      <c r="Q25" s="7"/>
      <c r="R25" s="7"/>
      <c r="S25" s="7"/>
      <c r="T25" s="7"/>
      <c r="U25" s="7"/>
      <c r="V25" s="7"/>
      <c r="W25" s="7"/>
      <c r="X25" s="7"/>
      <c r="Y25" s="7"/>
      <c r="Z25" s="7"/>
      <c r="AA25" s="7"/>
    </row>
    <row r="26" spans="1:27" ht="15.75" customHeight="1">
      <c r="A26" s="7"/>
      <c r="B26" s="7"/>
      <c r="C26" s="7"/>
      <c r="D26" s="7"/>
      <c r="E26" s="7"/>
      <c r="F26" s="29" t="s">
        <v>140</v>
      </c>
      <c r="G26" s="35" t="s">
        <v>163</v>
      </c>
      <c r="H26" s="35" t="s">
        <v>164</v>
      </c>
      <c r="I26" s="7"/>
      <c r="J26" s="7"/>
      <c r="K26" s="7"/>
      <c r="L26" s="7"/>
      <c r="M26" s="7"/>
      <c r="N26" s="7"/>
      <c r="O26" s="7"/>
      <c r="P26" s="7"/>
      <c r="Q26" s="7"/>
      <c r="R26" s="7"/>
      <c r="S26" s="7"/>
      <c r="T26" s="7"/>
      <c r="U26" s="7"/>
      <c r="V26" s="7"/>
      <c r="W26" s="7"/>
      <c r="X26" s="7"/>
      <c r="Y26" s="7"/>
      <c r="Z26" s="7"/>
      <c r="AA26" s="7"/>
    </row>
    <row r="27" spans="1:27" ht="15.75" customHeight="1">
      <c r="A27" s="7"/>
      <c r="B27" s="7"/>
      <c r="C27" s="7"/>
      <c r="D27" s="7"/>
      <c r="E27" s="7"/>
      <c r="F27" s="7"/>
      <c r="G27" s="36">
        <v>43101</v>
      </c>
      <c r="H27" s="36">
        <f ca="1">DATEDIF(G27,TODAY(),"Y")</f>
        <v>8</v>
      </c>
      <c r="I27" s="7"/>
      <c r="J27" s="7"/>
      <c r="K27" s="7"/>
      <c r="L27" s="7"/>
      <c r="M27" s="7"/>
      <c r="N27" s="7"/>
      <c r="O27" s="7"/>
      <c r="P27" s="7"/>
      <c r="Q27" s="7"/>
      <c r="R27" s="7"/>
      <c r="S27" s="7"/>
      <c r="T27" s="7"/>
      <c r="U27" s="7"/>
      <c r="V27" s="7"/>
      <c r="W27" s="7"/>
      <c r="X27" s="7"/>
      <c r="Y27" s="7"/>
      <c r="Z27" s="7"/>
      <c r="AA27" s="7"/>
    </row>
    <row r="28" spans="1:27"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5">
    <mergeCell ref="L2:R3"/>
    <mergeCell ref="M7:Q8"/>
    <mergeCell ref="M13:Q14"/>
    <mergeCell ref="M19:Q20"/>
    <mergeCell ref="F24:I25"/>
  </mergeCells>
  <dataValidations count="2">
    <dataValidation type="list" allowBlank="1" showInputMessage="1" showErrorMessage="1" sqref="M22" xr:uid="{66696F4C-9D02-4680-A400-80116329D346}">
      <formula1>$A$2:$A$21</formula1>
    </dataValidation>
    <dataValidation type="list" allowBlank="1" showInputMessage="1" showErrorMessage="1" sqref="G27" xr:uid="{7AF3B460-2A9A-47E6-AB46-965F525DB53B}">
      <formula1>$F$2:$F$21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zoomScale="85" zoomScaleNormal="85" workbookViewId="0">
      <selection activeCell="A24" sqref="A24"/>
    </sheetView>
  </sheetViews>
  <sheetFormatPr defaultColWidth="14.3984375" defaultRowHeight="15" customHeight="1"/>
  <cols>
    <col min="1" max="1" width="7.86328125" customWidth="1"/>
    <col min="2" max="2" width="9.1328125" customWidth="1"/>
    <col min="3" max="3" width="7.1328125" customWidth="1"/>
    <col min="4" max="4" width="11.59765625" customWidth="1"/>
    <col min="5" max="5" width="8.1328125" customWidth="1"/>
    <col min="6" max="6" width="18.86328125" customWidth="1"/>
    <col min="7" max="7" width="12.86328125" customWidth="1"/>
    <col min="8" max="8" width="12" bestFit="1" customWidth="1"/>
    <col min="9" max="9" width="15.86328125" bestFit="1" customWidth="1"/>
    <col min="10" max="12" width="8.73046875" customWidth="1"/>
    <col min="13" max="13" width="11.73046875" bestFit="1" customWidth="1"/>
    <col min="14" max="14" width="12.73046875" bestFit="1" customWidth="1"/>
    <col min="15" max="26" width="8.73046875" customWidth="1"/>
  </cols>
  <sheetData>
    <row r="1" spans="1:26" ht="14.25">
      <c r="A1" s="6" t="s">
        <v>67</v>
      </c>
      <c r="B1" s="6" t="s">
        <v>68</v>
      </c>
      <c r="C1" s="6" t="s">
        <v>69</v>
      </c>
      <c r="D1" s="6" t="s">
        <v>70</v>
      </c>
      <c r="E1" s="6" t="s">
        <v>71</v>
      </c>
      <c r="F1" s="6" t="s">
        <v>72</v>
      </c>
      <c r="G1" s="6" t="s">
        <v>136</v>
      </c>
      <c r="H1" s="6" t="s">
        <v>137</v>
      </c>
      <c r="I1" s="6" t="s">
        <v>139</v>
      </c>
      <c r="J1" s="7"/>
      <c r="K1" s="7"/>
      <c r="L1" s="7"/>
      <c r="M1" s="7"/>
      <c r="N1" s="7"/>
      <c r="O1" s="7"/>
      <c r="P1" s="7"/>
      <c r="Q1" s="7"/>
      <c r="R1" s="7"/>
      <c r="S1" s="7"/>
      <c r="T1" s="7"/>
      <c r="U1" s="7"/>
      <c r="V1" s="7"/>
      <c r="W1" s="7"/>
      <c r="X1" s="7"/>
      <c r="Y1" s="7"/>
      <c r="Z1" s="7"/>
    </row>
    <row r="2" spans="1:26" ht="14.25">
      <c r="A2" s="8">
        <v>2001</v>
      </c>
      <c r="B2" s="8" t="s">
        <v>73</v>
      </c>
      <c r="C2" s="8" t="s">
        <v>74</v>
      </c>
      <c r="D2" s="8" t="s">
        <v>75</v>
      </c>
      <c r="E2" s="8">
        <v>7048</v>
      </c>
      <c r="F2" s="9">
        <v>44927</v>
      </c>
      <c r="G2" s="13">
        <v>0.05</v>
      </c>
      <c r="H2" s="10">
        <f>E2-(E2*G2)</f>
        <v>6695.6</v>
      </c>
      <c r="I2" s="7" t="str">
        <f>IF(OR(C2="South",C2="West"),"Discount","Not Discount")</f>
        <v>Discount</v>
      </c>
      <c r="J2" s="7"/>
      <c r="K2" s="46" t="s">
        <v>134</v>
      </c>
      <c r="L2" s="46"/>
      <c r="M2" s="46"/>
      <c r="N2" s="46"/>
      <c r="O2" s="46"/>
      <c r="P2" s="46"/>
      <c r="Q2" s="46"/>
      <c r="R2" s="46"/>
      <c r="S2" s="46"/>
      <c r="T2" s="7"/>
      <c r="U2" s="7"/>
      <c r="V2" s="7"/>
      <c r="W2" s="7"/>
      <c r="X2" s="7"/>
      <c r="Y2" s="7"/>
      <c r="Z2" s="7"/>
    </row>
    <row r="3" spans="1:26" ht="14.25">
      <c r="A3" s="8">
        <v>2002</v>
      </c>
      <c r="B3" s="8" t="s">
        <v>76</v>
      </c>
      <c r="C3" s="8" t="s">
        <v>77</v>
      </c>
      <c r="D3" s="8" t="s">
        <v>78</v>
      </c>
      <c r="E3" s="8">
        <v>17428</v>
      </c>
      <c r="F3" s="9">
        <v>44942</v>
      </c>
      <c r="G3" s="13">
        <v>0.1</v>
      </c>
      <c r="H3" s="10">
        <f t="shared" ref="H3:H21" si="0">E3-(E3*G3)</f>
        <v>15685.2</v>
      </c>
      <c r="I3" s="7" t="str">
        <f t="shared" ref="I3:I21" si="1">IF(OR(C3="South",C3="West"),"Discount","Not Discount")</f>
        <v>Discount</v>
      </c>
      <c r="J3" s="7"/>
      <c r="K3" s="46"/>
      <c r="L3" s="46"/>
      <c r="M3" s="46"/>
      <c r="N3" s="46"/>
      <c r="O3" s="46"/>
      <c r="P3" s="46"/>
      <c r="Q3" s="46"/>
      <c r="R3" s="46"/>
      <c r="S3" s="46"/>
      <c r="T3" s="7"/>
      <c r="U3" s="7"/>
      <c r="V3" s="7"/>
      <c r="W3" s="7"/>
      <c r="X3" s="7"/>
      <c r="Y3" s="7"/>
      <c r="Z3" s="7"/>
    </row>
    <row r="4" spans="1:26" ht="14.25">
      <c r="A4" s="8">
        <v>2003</v>
      </c>
      <c r="B4" s="8" t="s">
        <v>79</v>
      </c>
      <c r="C4" s="8" t="s">
        <v>74</v>
      </c>
      <c r="D4" s="8" t="s">
        <v>80</v>
      </c>
      <c r="E4" s="8">
        <v>23672</v>
      </c>
      <c r="F4" s="9">
        <v>44957</v>
      </c>
      <c r="G4" s="13">
        <v>0.15</v>
      </c>
      <c r="H4" s="10">
        <f t="shared" si="0"/>
        <v>20121.2</v>
      </c>
      <c r="I4" s="7" t="str">
        <f t="shared" si="1"/>
        <v>Discount</v>
      </c>
      <c r="J4" s="7"/>
      <c r="K4" s="7"/>
      <c r="L4" s="7"/>
      <c r="M4" s="7"/>
      <c r="N4" s="7"/>
      <c r="O4" s="7"/>
      <c r="P4" s="7"/>
      <c r="Q4" s="7"/>
      <c r="R4" s="7"/>
      <c r="S4" s="7"/>
      <c r="T4" s="7"/>
      <c r="U4" s="7"/>
      <c r="V4" s="7"/>
      <c r="W4" s="7"/>
      <c r="X4" s="7"/>
      <c r="Y4" s="7"/>
      <c r="Z4" s="7"/>
    </row>
    <row r="5" spans="1:26" ht="14.25">
      <c r="A5" s="8">
        <v>2004</v>
      </c>
      <c r="B5" s="8" t="s">
        <v>76</v>
      </c>
      <c r="C5" s="8" t="s">
        <v>81</v>
      </c>
      <c r="D5" s="8" t="s">
        <v>82</v>
      </c>
      <c r="E5" s="8">
        <v>5264</v>
      </c>
      <c r="F5" s="9">
        <v>44972</v>
      </c>
      <c r="G5" s="13">
        <v>0.2</v>
      </c>
      <c r="H5" s="10">
        <f t="shared" si="0"/>
        <v>4211.2</v>
      </c>
      <c r="I5" s="7" t="str">
        <f t="shared" si="1"/>
        <v>Not Discount</v>
      </c>
      <c r="J5" s="7"/>
      <c r="K5" s="7"/>
      <c r="L5" s="7"/>
      <c r="M5" s="11" t="s">
        <v>67</v>
      </c>
      <c r="N5" s="11" t="s">
        <v>135</v>
      </c>
      <c r="O5" s="7"/>
      <c r="P5" s="7"/>
      <c r="Q5" s="7"/>
      <c r="R5" s="7"/>
      <c r="S5" s="7"/>
      <c r="T5" s="7"/>
      <c r="U5" s="7"/>
      <c r="V5" s="7"/>
      <c r="W5" s="7"/>
      <c r="X5" s="7"/>
      <c r="Y5" s="7"/>
      <c r="Z5" s="7"/>
    </row>
    <row r="6" spans="1:26" ht="14.25">
      <c r="A6" s="8">
        <v>2005</v>
      </c>
      <c r="B6" s="8" t="s">
        <v>73</v>
      </c>
      <c r="C6" s="8" t="s">
        <v>83</v>
      </c>
      <c r="D6" s="8" t="s">
        <v>84</v>
      </c>
      <c r="E6" s="8">
        <v>43388</v>
      </c>
      <c r="F6" s="9">
        <v>44987</v>
      </c>
      <c r="G6" s="13">
        <v>0.25</v>
      </c>
      <c r="H6" s="10">
        <f t="shared" si="0"/>
        <v>32541</v>
      </c>
      <c r="I6" s="7" t="str">
        <f t="shared" si="1"/>
        <v>Not Discount</v>
      </c>
      <c r="J6" s="7"/>
      <c r="K6" s="7"/>
      <c r="L6" s="7"/>
      <c r="M6" s="17">
        <v>2008</v>
      </c>
      <c r="N6" s="17">
        <f>VLOOKUP(M6,A2:F21,5,0)</f>
        <v>46429</v>
      </c>
      <c r="O6" s="7"/>
      <c r="P6" s="7"/>
      <c r="Q6" s="7"/>
      <c r="R6" s="7"/>
      <c r="S6" s="7"/>
      <c r="T6" s="7"/>
      <c r="U6" s="7"/>
      <c r="V6" s="7"/>
      <c r="W6" s="7"/>
      <c r="X6" s="7"/>
      <c r="Y6" s="7"/>
      <c r="Z6" s="7"/>
    </row>
    <row r="7" spans="1:26" ht="14.25">
      <c r="A7" s="8">
        <v>2006</v>
      </c>
      <c r="B7" s="8" t="s">
        <v>79</v>
      </c>
      <c r="C7" s="8" t="s">
        <v>83</v>
      </c>
      <c r="D7" s="8" t="s">
        <v>85</v>
      </c>
      <c r="E7" s="8">
        <v>19757</v>
      </c>
      <c r="F7" s="9">
        <v>45002</v>
      </c>
      <c r="G7" s="13">
        <v>0.3</v>
      </c>
      <c r="H7" s="10">
        <f t="shared" si="0"/>
        <v>13829.900000000001</v>
      </c>
      <c r="I7" s="7" t="str">
        <f t="shared" si="1"/>
        <v>Not Discount</v>
      </c>
      <c r="J7" s="7"/>
      <c r="K7" s="7"/>
      <c r="L7" s="7"/>
      <c r="M7" s="7"/>
      <c r="N7" s="7"/>
      <c r="O7" s="7"/>
      <c r="P7" s="7"/>
      <c r="Q7" s="7"/>
      <c r="R7" s="7"/>
      <c r="S7" s="7"/>
      <c r="T7" s="7"/>
      <c r="U7" s="7"/>
      <c r="V7" s="7"/>
      <c r="W7" s="7"/>
      <c r="X7" s="7"/>
      <c r="Y7" s="7"/>
      <c r="Z7" s="7"/>
    </row>
    <row r="8" spans="1:26" ht="14.25">
      <c r="A8" s="8">
        <v>2007</v>
      </c>
      <c r="B8" s="8" t="s">
        <v>79</v>
      </c>
      <c r="C8" s="8" t="s">
        <v>81</v>
      </c>
      <c r="D8" s="8" t="s">
        <v>86</v>
      </c>
      <c r="E8" s="8">
        <v>32058</v>
      </c>
      <c r="F8" s="9">
        <v>45017</v>
      </c>
      <c r="G8" s="13">
        <v>0.35</v>
      </c>
      <c r="H8" s="10">
        <f t="shared" si="0"/>
        <v>20837.7</v>
      </c>
      <c r="I8" s="7" t="str">
        <f t="shared" si="1"/>
        <v>Not Discount</v>
      </c>
      <c r="J8" s="7"/>
      <c r="K8" s="7"/>
      <c r="L8" s="7"/>
      <c r="M8" s="7"/>
      <c r="N8" s="7"/>
      <c r="O8" s="7"/>
      <c r="P8" s="7"/>
      <c r="Q8" s="7"/>
      <c r="R8" s="7"/>
      <c r="S8" s="7"/>
      <c r="T8" s="7"/>
      <c r="U8" s="7"/>
      <c r="V8" s="7"/>
      <c r="W8" s="7"/>
      <c r="X8" s="7"/>
      <c r="Y8" s="7"/>
      <c r="Z8" s="7"/>
    </row>
    <row r="9" spans="1:26" ht="14.25">
      <c r="A9" s="8">
        <v>2008</v>
      </c>
      <c r="B9" s="8" t="s">
        <v>73</v>
      </c>
      <c r="C9" s="8" t="s">
        <v>81</v>
      </c>
      <c r="D9" s="8" t="s">
        <v>87</v>
      </c>
      <c r="E9" s="8">
        <v>46429</v>
      </c>
      <c r="F9" s="9">
        <v>45032</v>
      </c>
      <c r="G9" s="13">
        <v>0.4</v>
      </c>
      <c r="H9" s="10">
        <f t="shared" si="0"/>
        <v>27857.399999999998</v>
      </c>
      <c r="I9" s="7" t="str">
        <f t="shared" si="1"/>
        <v>Not Discount</v>
      </c>
      <c r="J9" s="7"/>
      <c r="K9" s="7"/>
      <c r="L9" s="46" t="s">
        <v>142</v>
      </c>
      <c r="M9" s="46"/>
      <c r="N9" s="46"/>
      <c r="O9" s="46"/>
      <c r="P9" s="46"/>
      <c r="Q9" s="46"/>
      <c r="R9" s="7"/>
      <c r="S9" s="7"/>
      <c r="T9" s="7"/>
      <c r="U9" s="7"/>
      <c r="V9" s="7"/>
      <c r="W9" s="7"/>
      <c r="X9" s="7"/>
      <c r="Y9" s="7"/>
      <c r="Z9" s="7"/>
    </row>
    <row r="10" spans="1:26" ht="14.25">
      <c r="A10" s="8">
        <v>2009</v>
      </c>
      <c r="B10" s="8" t="s">
        <v>76</v>
      </c>
      <c r="C10" s="8" t="s">
        <v>81</v>
      </c>
      <c r="D10" s="8" t="s">
        <v>88</v>
      </c>
      <c r="E10" s="8">
        <v>19746</v>
      </c>
      <c r="F10" s="9">
        <v>45047</v>
      </c>
      <c r="G10" s="13">
        <v>0.45</v>
      </c>
      <c r="H10" s="10">
        <f t="shared" si="0"/>
        <v>10860.3</v>
      </c>
      <c r="I10" s="7" t="str">
        <f t="shared" si="1"/>
        <v>Not Discount</v>
      </c>
      <c r="J10" s="7"/>
      <c r="K10" s="7"/>
      <c r="L10" s="46"/>
      <c r="M10" s="46"/>
      <c r="N10" s="46"/>
      <c r="O10" s="46"/>
      <c r="P10" s="46"/>
      <c r="Q10" s="46"/>
      <c r="R10" s="7"/>
      <c r="S10" s="7"/>
      <c r="T10" s="7"/>
      <c r="U10" s="7"/>
      <c r="V10" s="7"/>
      <c r="W10" s="7"/>
      <c r="X10" s="7"/>
      <c r="Y10" s="7"/>
      <c r="Z10" s="7"/>
    </row>
    <row r="11" spans="1:26" ht="14.25">
      <c r="A11" s="8">
        <v>2010</v>
      </c>
      <c r="B11" s="8" t="s">
        <v>73</v>
      </c>
      <c r="C11" s="8" t="s">
        <v>74</v>
      </c>
      <c r="D11" s="8" t="s">
        <v>89</v>
      </c>
      <c r="E11" s="8">
        <v>35185</v>
      </c>
      <c r="F11" s="9">
        <v>45062</v>
      </c>
      <c r="G11" s="13">
        <v>0.5</v>
      </c>
      <c r="H11" s="10">
        <f t="shared" si="0"/>
        <v>17592.5</v>
      </c>
      <c r="I11" s="7" t="str">
        <f t="shared" si="1"/>
        <v>Discount</v>
      </c>
      <c r="J11" s="7"/>
      <c r="K11" s="7"/>
      <c r="L11" s="7"/>
      <c r="M11" s="7"/>
      <c r="N11" s="7"/>
      <c r="O11" s="7"/>
      <c r="P11" s="7"/>
      <c r="Q11" s="7"/>
      <c r="R11" s="7"/>
      <c r="S11" s="7"/>
      <c r="T11" s="7"/>
      <c r="U11" s="7"/>
      <c r="V11" s="7"/>
      <c r="W11" s="7"/>
      <c r="X11" s="7"/>
      <c r="Y11" s="7"/>
      <c r="Z11" s="7"/>
    </row>
    <row r="12" spans="1:26" ht="14.25">
      <c r="A12" s="8">
        <v>2011</v>
      </c>
      <c r="B12" s="8" t="s">
        <v>73</v>
      </c>
      <c r="C12" s="8" t="s">
        <v>81</v>
      </c>
      <c r="D12" s="8" t="s">
        <v>90</v>
      </c>
      <c r="E12" s="8">
        <v>33920</v>
      </c>
      <c r="F12" s="9">
        <v>45077</v>
      </c>
      <c r="G12" s="13">
        <v>0.55000000000000004</v>
      </c>
      <c r="H12" s="10">
        <f t="shared" si="0"/>
        <v>15264</v>
      </c>
      <c r="I12" s="7" t="str">
        <f t="shared" si="1"/>
        <v>Not Discount</v>
      </c>
      <c r="J12" s="7"/>
      <c r="K12" s="7"/>
      <c r="L12" s="7"/>
      <c r="M12" s="15" t="s">
        <v>68</v>
      </c>
      <c r="N12" s="15" t="s">
        <v>143</v>
      </c>
      <c r="O12" s="15" t="s">
        <v>144</v>
      </c>
      <c r="P12" s="7"/>
      <c r="Q12" s="7"/>
      <c r="R12" s="7"/>
      <c r="S12" s="7"/>
      <c r="T12" s="7"/>
      <c r="U12" s="7"/>
      <c r="V12" s="7"/>
      <c r="W12" s="7"/>
      <c r="X12" s="7"/>
      <c r="Y12" s="7"/>
      <c r="Z12" s="7"/>
    </row>
    <row r="13" spans="1:26" ht="14.25">
      <c r="A13" s="8">
        <v>2012</v>
      </c>
      <c r="B13" s="8" t="s">
        <v>91</v>
      </c>
      <c r="C13" s="8" t="s">
        <v>83</v>
      </c>
      <c r="D13" s="8" t="s">
        <v>92</v>
      </c>
      <c r="E13" s="8">
        <v>35611</v>
      </c>
      <c r="F13" s="9">
        <v>45092</v>
      </c>
      <c r="G13" s="13">
        <v>0.6</v>
      </c>
      <c r="H13" s="10">
        <f t="shared" si="0"/>
        <v>14244.400000000001</v>
      </c>
      <c r="I13" s="7" t="str">
        <f t="shared" si="1"/>
        <v>Not Discount</v>
      </c>
      <c r="J13" s="7"/>
      <c r="K13" s="7"/>
      <c r="L13" s="16" t="s">
        <v>140</v>
      </c>
      <c r="M13" s="17" t="s">
        <v>73</v>
      </c>
      <c r="N13" s="17" t="s">
        <v>74</v>
      </c>
      <c r="O13" s="17">
        <f>SUMIFS(E2:E21,B2:B21,M13,C2:C21,N13)</f>
        <v>42233</v>
      </c>
      <c r="P13" s="7"/>
      <c r="Q13" s="7"/>
      <c r="R13" s="7"/>
      <c r="S13" s="7"/>
      <c r="T13" s="7"/>
      <c r="U13" s="7"/>
      <c r="V13" s="7"/>
      <c r="W13" s="7"/>
      <c r="X13" s="7"/>
      <c r="Y13" s="7"/>
      <c r="Z13" s="7"/>
    </row>
    <row r="14" spans="1:26" ht="14.25">
      <c r="A14" s="8">
        <v>2013</v>
      </c>
      <c r="B14" s="8" t="s">
        <v>93</v>
      </c>
      <c r="C14" s="8" t="s">
        <v>81</v>
      </c>
      <c r="D14" s="8" t="s">
        <v>94</v>
      </c>
      <c r="E14" s="8">
        <v>15560</v>
      </c>
      <c r="F14" s="9">
        <v>45107</v>
      </c>
      <c r="G14" s="13">
        <v>0.65</v>
      </c>
      <c r="H14" s="10">
        <f t="shared" si="0"/>
        <v>5446</v>
      </c>
      <c r="I14" s="7" t="str">
        <f t="shared" si="1"/>
        <v>Not Discount</v>
      </c>
      <c r="J14" s="7"/>
      <c r="K14" s="7"/>
      <c r="L14" s="7"/>
      <c r="M14" s="7"/>
      <c r="N14" s="7"/>
      <c r="O14" s="7"/>
      <c r="P14" s="7"/>
      <c r="Q14" s="7"/>
      <c r="R14" s="7"/>
      <c r="S14" s="7"/>
      <c r="T14" s="7"/>
      <c r="U14" s="7"/>
      <c r="V14" s="7"/>
      <c r="W14" s="7"/>
      <c r="X14" s="7"/>
      <c r="Y14" s="7"/>
      <c r="Z14" s="7"/>
    </row>
    <row r="15" spans="1:26" ht="14.25">
      <c r="A15" s="8">
        <v>2014</v>
      </c>
      <c r="B15" s="8" t="s">
        <v>93</v>
      </c>
      <c r="C15" s="8" t="s">
        <v>74</v>
      </c>
      <c r="D15" s="8" t="s">
        <v>95</v>
      </c>
      <c r="E15" s="8">
        <v>7283</v>
      </c>
      <c r="F15" s="9">
        <v>45122</v>
      </c>
      <c r="G15" s="13">
        <v>0.7</v>
      </c>
      <c r="H15" s="10">
        <f t="shared" si="0"/>
        <v>2184.9000000000005</v>
      </c>
      <c r="I15" s="7" t="str">
        <f t="shared" si="1"/>
        <v>Discount</v>
      </c>
      <c r="J15" s="7"/>
      <c r="K15" s="7"/>
      <c r="L15" s="7"/>
      <c r="M15" s="7"/>
      <c r="N15" s="7"/>
      <c r="O15" s="7"/>
      <c r="P15" s="7"/>
      <c r="Q15" s="7"/>
      <c r="R15" s="7"/>
      <c r="S15" s="7"/>
      <c r="T15" s="7"/>
      <c r="U15" s="7"/>
      <c r="V15" s="7"/>
      <c r="W15" s="7"/>
      <c r="X15" s="7"/>
      <c r="Y15" s="7"/>
      <c r="Z15" s="7"/>
    </row>
    <row r="16" spans="1:26" ht="14.25">
      <c r="A16" s="8">
        <v>2015</v>
      </c>
      <c r="B16" s="8" t="s">
        <v>93</v>
      </c>
      <c r="C16" s="8" t="s">
        <v>81</v>
      </c>
      <c r="D16" s="8" t="s">
        <v>96</v>
      </c>
      <c r="E16" s="8">
        <v>15678</v>
      </c>
      <c r="F16" s="9">
        <v>45137</v>
      </c>
      <c r="G16" s="13">
        <v>0.75</v>
      </c>
      <c r="H16" s="10">
        <f t="shared" si="0"/>
        <v>3919.5</v>
      </c>
      <c r="I16" s="7" t="str">
        <f t="shared" si="1"/>
        <v>Not Discount</v>
      </c>
      <c r="J16" s="7"/>
      <c r="K16" s="7"/>
      <c r="L16" s="48" t="s">
        <v>149</v>
      </c>
      <c r="M16" s="48"/>
      <c r="N16" s="48"/>
      <c r="O16" s="48"/>
      <c r="P16" s="48"/>
      <c r="Q16" s="7"/>
      <c r="R16" s="7"/>
      <c r="S16" s="7"/>
      <c r="T16" s="7"/>
      <c r="U16" s="7"/>
      <c r="V16" s="7"/>
      <c r="W16" s="7"/>
      <c r="X16" s="7"/>
      <c r="Y16" s="7"/>
      <c r="Z16" s="7"/>
    </row>
    <row r="17" spans="1:26" ht="14.25">
      <c r="A17" s="8">
        <v>2016</v>
      </c>
      <c r="B17" s="8" t="s">
        <v>79</v>
      </c>
      <c r="C17" s="8" t="s">
        <v>81</v>
      </c>
      <c r="D17" s="8" t="s">
        <v>97</v>
      </c>
      <c r="E17" s="8">
        <v>5277</v>
      </c>
      <c r="F17" s="9">
        <v>45152</v>
      </c>
      <c r="G17" s="13">
        <v>0.8</v>
      </c>
      <c r="H17" s="10">
        <f t="shared" si="0"/>
        <v>1055.3999999999996</v>
      </c>
      <c r="I17" s="7" t="str">
        <f t="shared" si="1"/>
        <v>Not Discount</v>
      </c>
      <c r="J17" s="7"/>
      <c r="K17" s="7"/>
      <c r="L17" s="48"/>
      <c r="M17" s="48"/>
      <c r="N17" s="48"/>
      <c r="O17" s="48"/>
      <c r="P17" s="48"/>
      <c r="Q17" s="7"/>
      <c r="R17" s="7"/>
      <c r="S17" s="7"/>
      <c r="T17" s="7"/>
      <c r="U17" s="7"/>
      <c r="V17" s="7"/>
      <c r="W17" s="7"/>
      <c r="X17" s="7"/>
      <c r="Y17" s="7"/>
      <c r="Z17" s="7"/>
    </row>
    <row r="18" spans="1:26" ht="14.25">
      <c r="A18" s="8">
        <v>2017</v>
      </c>
      <c r="B18" s="8" t="s">
        <v>91</v>
      </c>
      <c r="C18" s="8" t="s">
        <v>83</v>
      </c>
      <c r="D18" s="8" t="s">
        <v>98</v>
      </c>
      <c r="E18" s="8">
        <v>41871</v>
      </c>
      <c r="F18" s="9">
        <v>45167</v>
      </c>
      <c r="G18" s="13">
        <v>0.85</v>
      </c>
      <c r="H18" s="10">
        <f t="shared" si="0"/>
        <v>6280.6500000000015</v>
      </c>
      <c r="I18" s="7" t="str">
        <f t="shared" si="1"/>
        <v>Not Discount</v>
      </c>
      <c r="J18" s="7"/>
      <c r="K18" s="7"/>
      <c r="L18" s="7"/>
      <c r="M18" s="7"/>
      <c r="N18" s="7"/>
      <c r="O18" s="7"/>
      <c r="P18" s="7"/>
      <c r="Q18" s="7"/>
      <c r="R18" s="7"/>
      <c r="S18" s="7"/>
      <c r="T18" s="7"/>
      <c r="U18" s="7"/>
      <c r="V18" s="7"/>
      <c r="W18" s="7"/>
      <c r="X18" s="7"/>
      <c r="Y18" s="7"/>
      <c r="Z18" s="7"/>
    </row>
    <row r="19" spans="1:26" ht="14.25">
      <c r="A19" s="8">
        <v>2018</v>
      </c>
      <c r="B19" s="8" t="s">
        <v>91</v>
      </c>
      <c r="C19" s="8" t="s">
        <v>77</v>
      </c>
      <c r="D19" s="8" t="s">
        <v>99</v>
      </c>
      <c r="E19" s="8">
        <v>38161</v>
      </c>
      <c r="F19" s="9">
        <v>45182</v>
      </c>
      <c r="G19" s="13">
        <v>0.9</v>
      </c>
      <c r="H19" s="10">
        <f t="shared" si="0"/>
        <v>3816.0999999999985</v>
      </c>
      <c r="I19" s="7" t="str">
        <f t="shared" si="1"/>
        <v>Discount</v>
      </c>
      <c r="J19" s="7"/>
      <c r="K19" s="7"/>
      <c r="L19" s="7"/>
      <c r="M19" s="22" t="s">
        <v>67</v>
      </c>
      <c r="N19" s="22" t="s">
        <v>68</v>
      </c>
      <c r="O19" s="7"/>
      <c r="P19" s="7"/>
      <c r="Q19" s="7"/>
      <c r="R19" s="7"/>
      <c r="S19" s="7"/>
      <c r="T19" s="7"/>
      <c r="U19" s="7"/>
      <c r="V19" s="7"/>
      <c r="W19" s="7"/>
      <c r="X19" s="7"/>
      <c r="Y19" s="7"/>
      <c r="Z19" s="7"/>
    </row>
    <row r="20" spans="1:26" ht="14.25">
      <c r="A20" s="8">
        <v>2019</v>
      </c>
      <c r="B20" s="8" t="s">
        <v>79</v>
      </c>
      <c r="C20" s="8" t="s">
        <v>77</v>
      </c>
      <c r="D20" s="8" t="s">
        <v>100</v>
      </c>
      <c r="E20" s="8">
        <v>30436</v>
      </c>
      <c r="F20" s="9">
        <v>45197</v>
      </c>
      <c r="G20" s="13">
        <v>0.95</v>
      </c>
      <c r="H20" s="10">
        <f t="shared" si="0"/>
        <v>1521.8000000000029</v>
      </c>
      <c r="I20" s="7" t="str">
        <f t="shared" si="1"/>
        <v>Discount</v>
      </c>
      <c r="J20" s="7"/>
      <c r="K20" s="7"/>
      <c r="L20" s="7"/>
      <c r="M20" s="23">
        <v>2007</v>
      </c>
      <c r="N20" s="23" t="str">
        <f>VLOOKUP(M20,A2:B21,2,0)</f>
        <v>Mouse</v>
      </c>
      <c r="O20" s="7"/>
      <c r="P20" s="7"/>
      <c r="Q20" s="7"/>
      <c r="R20" s="7"/>
      <c r="S20" s="7"/>
      <c r="T20" s="7"/>
      <c r="U20" s="7"/>
      <c r="V20" s="7"/>
      <c r="W20" s="7"/>
      <c r="X20" s="7"/>
      <c r="Y20" s="7"/>
      <c r="Z20" s="7"/>
    </row>
    <row r="21" spans="1:26" ht="15.75" customHeight="1">
      <c r="A21" s="8">
        <v>2020</v>
      </c>
      <c r="B21" s="8" t="s">
        <v>76</v>
      </c>
      <c r="C21" s="8" t="s">
        <v>77</v>
      </c>
      <c r="D21" s="8" t="s">
        <v>101</v>
      </c>
      <c r="E21" s="8">
        <v>33953</v>
      </c>
      <c r="F21" s="9">
        <v>45212</v>
      </c>
      <c r="G21" s="13">
        <v>1</v>
      </c>
      <c r="H21" s="10">
        <f t="shared" si="0"/>
        <v>0</v>
      </c>
      <c r="I21" s="7" t="str">
        <f t="shared" si="1"/>
        <v>Discount</v>
      </c>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43" t="s">
        <v>151</v>
      </c>
      <c r="M24" s="44"/>
      <c r="N24" s="44"/>
      <c r="O24" s="44"/>
      <c r="P24" s="44"/>
      <c r="Q24" s="7"/>
      <c r="R24" s="7"/>
      <c r="S24" s="7"/>
      <c r="T24" s="7"/>
      <c r="U24" s="7"/>
      <c r="V24" s="7"/>
      <c r="W24" s="7"/>
      <c r="X24" s="7"/>
      <c r="Y24" s="7"/>
      <c r="Z24" s="7"/>
    </row>
    <row r="25" spans="1:26" ht="15.75" customHeight="1">
      <c r="A25" s="7"/>
      <c r="B25" s="7"/>
      <c r="C25" s="7"/>
      <c r="D25" s="7"/>
      <c r="E25" s="7"/>
      <c r="F25" s="43" t="s">
        <v>156</v>
      </c>
      <c r="G25" s="44"/>
      <c r="H25" s="44"/>
      <c r="I25" s="44"/>
      <c r="J25" s="7"/>
      <c r="K25" s="7"/>
      <c r="L25" s="44"/>
      <c r="M25" s="44"/>
      <c r="N25" s="44"/>
      <c r="O25" s="44"/>
      <c r="P25" s="44"/>
      <c r="Q25" s="7"/>
      <c r="R25" s="7"/>
      <c r="S25" s="7"/>
      <c r="T25" s="7"/>
      <c r="U25" s="7"/>
      <c r="V25" s="7"/>
      <c r="W25" s="7"/>
      <c r="X25" s="7"/>
      <c r="Y25" s="7"/>
      <c r="Z25" s="7"/>
    </row>
    <row r="26" spans="1:26" ht="15.75" customHeight="1">
      <c r="A26" s="7"/>
      <c r="B26" s="7"/>
      <c r="C26" s="7"/>
      <c r="D26" s="7"/>
      <c r="E26" s="7"/>
      <c r="F26" s="44"/>
      <c r="G26" s="44"/>
      <c r="H26" s="44"/>
      <c r="I26" s="44"/>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25" t="s">
        <v>152</v>
      </c>
      <c r="M27" s="25" t="s">
        <v>153</v>
      </c>
      <c r="N27" s="7"/>
      <c r="O27" s="7"/>
      <c r="P27" s="7"/>
      <c r="Q27" s="7"/>
      <c r="R27" s="7"/>
      <c r="S27" s="7"/>
      <c r="T27" s="7"/>
      <c r="U27" s="7"/>
      <c r="V27" s="7"/>
      <c r="W27" s="7"/>
      <c r="X27" s="7"/>
      <c r="Y27" s="7"/>
      <c r="Z27" s="7"/>
    </row>
    <row r="28" spans="1:26" ht="15.75" customHeight="1">
      <c r="A28" s="7"/>
      <c r="B28" s="7"/>
      <c r="C28" s="7"/>
      <c r="D28" s="7"/>
      <c r="E28" s="32" t="s">
        <v>140</v>
      </c>
      <c r="F28" s="32" t="s">
        <v>158</v>
      </c>
      <c r="G28" s="32" t="s">
        <v>157</v>
      </c>
      <c r="H28" s="7"/>
      <c r="I28" s="7"/>
      <c r="J28" s="7"/>
      <c r="K28" s="7"/>
      <c r="L28" s="14">
        <v>2003</v>
      </c>
      <c r="M28" s="14" t="str">
        <f>_xlfn.XLOOKUP(L28,A2:A21,D2:D21,"Not Found",0,1)</f>
        <v>Person 3</v>
      </c>
      <c r="N28" s="7"/>
      <c r="O28" s="7"/>
      <c r="P28" s="7"/>
      <c r="Q28" s="7"/>
      <c r="R28" s="7"/>
      <c r="S28" s="7"/>
      <c r="T28" s="7"/>
      <c r="U28" s="7"/>
      <c r="V28" s="7"/>
      <c r="W28" s="7"/>
      <c r="X28" s="7"/>
      <c r="Y28" s="7"/>
      <c r="Z28" s="7"/>
    </row>
    <row r="29" spans="1:26" ht="15.75" customHeight="1">
      <c r="A29" s="7"/>
      <c r="B29" s="7"/>
      <c r="C29" s="7"/>
      <c r="D29" s="7"/>
      <c r="E29" s="7"/>
      <c r="F29" s="18">
        <v>2014</v>
      </c>
      <c r="G29" s="18">
        <f>_xlfn.XMATCH(F29,A2:A21,0,1)</f>
        <v>14</v>
      </c>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
    <mergeCell ref="K2:S3"/>
    <mergeCell ref="L9:Q10"/>
    <mergeCell ref="L16:P17"/>
    <mergeCell ref="L24:P25"/>
    <mergeCell ref="F25:I26"/>
  </mergeCells>
  <dataValidations count="3">
    <dataValidation type="list" allowBlank="1" showInputMessage="1" showErrorMessage="1" sqref="M6 M20 L28 F29" xr:uid="{07B4D20C-7BA3-4647-B66F-0271C51B1F8C}">
      <formula1>$A$2:$A$21</formula1>
    </dataValidation>
    <dataValidation type="list" allowBlank="1" showInputMessage="1" showErrorMessage="1" sqref="M13" xr:uid="{697B4A1E-CCA0-4727-9B3C-4B676FAD36FF}">
      <formula1>$B$2:$B$21</formula1>
    </dataValidation>
    <dataValidation type="list" allowBlank="1" showInputMessage="1" showErrorMessage="1" sqref="N13" xr:uid="{91A0AB75-A67D-4FC0-A75B-CDAC59F63AA5}">
      <formula1>$C$2:$C$21</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85" zoomScaleNormal="85" workbookViewId="0">
      <selection activeCell="K24" sqref="K24"/>
    </sheetView>
  </sheetViews>
  <sheetFormatPr defaultColWidth="14.3984375" defaultRowHeight="15" customHeight="1"/>
  <cols>
    <col min="1" max="1" width="12" customWidth="1"/>
    <col min="2" max="2" width="12.1328125" customWidth="1"/>
    <col min="3" max="3" width="11.73046875" customWidth="1"/>
    <col min="4" max="4" width="7.59765625" customWidth="1"/>
    <col min="5" max="6" width="18.86328125" customWidth="1"/>
    <col min="7" max="7" width="18" customWidth="1"/>
    <col min="8" max="8" width="8.73046875" customWidth="1"/>
    <col min="9" max="9" width="12.1328125" bestFit="1" customWidth="1"/>
    <col min="10" max="10" width="13" customWidth="1"/>
    <col min="11" max="11" width="12.265625" bestFit="1" customWidth="1"/>
    <col min="12" max="26" width="8.73046875" customWidth="1"/>
  </cols>
  <sheetData>
    <row r="1" spans="1:26" ht="14.25">
      <c r="A1" s="6" t="s">
        <v>102</v>
      </c>
      <c r="B1" s="6" t="s">
        <v>42</v>
      </c>
      <c r="C1" s="6" t="s">
        <v>103</v>
      </c>
      <c r="D1" s="6" t="s">
        <v>104</v>
      </c>
      <c r="E1" s="6" t="s">
        <v>105</v>
      </c>
      <c r="F1" s="6" t="s">
        <v>165</v>
      </c>
      <c r="G1" s="6"/>
      <c r="H1" s="7"/>
      <c r="I1" s="42" t="s">
        <v>146</v>
      </c>
      <c r="J1" s="42"/>
      <c r="K1" s="42"/>
      <c r="L1" s="42"/>
      <c r="M1" s="7"/>
      <c r="N1" s="7"/>
      <c r="O1" s="7"/>
      <c r="P1" s="7"/>
      <c r="Q1" s="7"/>
      <c r="R1" s="7"/>
      <c r="S1" s="7"/>
      <c r="T1" s="7"/>
      <c r="U1" s="7"/>
      <c r="V1" s="7"/>
      <c r="W1" s="7"/>
      <c r="X1" s="7"/>
      <c r="Y1" s="7"/>
      <c r="Z1" s="7"/>
    </row>
    <row r="2" spans="1:26" ht="14.25">
      <c r="A2" s="8">
        <v>3001</v>
      </c>
      <c r="B2" s="8" t="s">
        <v>106</v>
      </c>
      <c r="C2" s="8" t="s">
        <v>107</v>
      </c>
      <c r="D2" s="8">
        <v>86766</v>
      </c>
      <c r="E2" s="9">
        <v>42005</v>
      </c>
      <c r="F2" s="37">
        <v>44228</v>
      </c>
      <c r="G2" s="38"/>
      <c r="H2" s="7"/>
      <c r="I2" s="42"/>
      <c r="J2" s="42"/>
      <c r="K2" s="42"/>
      <c r="L2" s="42"/>
      <c r="M2" s="7"/>
      <c r="N2" s="7"/>
      <c r="O2" s="7"/>
      <c r="P2" s="7"/>
      <c r="Q2" s="7"/>
      <c r="R2" s="7"/>
      <c r="S2" s="7"/>
      <c r="T2" s="7"/>
      <c r="U2" s="7"/>
      <c r="V2" s="7"/>
      <c r="W2" s="7"/>
      <c r="X2" s="7"/>
      <c r="Y2" s="7"/>
      <c r="Z2" s="7"/>
    </row>
    <row r="3" spans="1:26" ht="14.25">
      <c r="A3" s="8">
        <v>3002</v>
      </c>
      <c r="B3" s="8" t="s">
        <v>108</v>
      </c>
      <c r="C3" s="8" t="s">
        <v>107</v>
      </c>
      <c r="D3" s="8">
        <v>31943</v>
      </c>
      <c r="E3" s="9">
        <v>42255</v>
      </c>
      <c r="F3" s="37">
        <v>44229</v>
      </c>
      <c r="G3" s="37"/>
      <c r="H3" s="14" t="s">
        <v>140</v>
      </c>
      <c r="I3" s="18" t="s">
        <v>102</v>
      </c>
      <c r="J3" s="18" t="s">
        <v>104</v>
      </c>
      <c r="K3" s="7"/>
      <c r="L3" s="7"/>
      <c r="M3" s="7"/>
      <c r="N3" s="7"/>
      <c r="O3" s="7"/>
      <c r="P3" s="7"/>
      <c r="Q3" s="7"/>
      <c r="R3" s="7"/>
      <c r="S3" s="7"/>
      <c r="T3" s="7"/>
      <c r="U3" s="7"/>
      <c r="V3" s="7"/>
      <c r="W3" s="7"/>
      <c r="X3" s="7"/>
      <c r="Y3" s="7"/>
      <c r="Z3" s="7"/>
    </row>
    <row r="4" spans="1:26" ht="14.25">
      <c r="A4" s="8">
        <v>3003</v>
      </c>
      <c r="B4" s="8" t="s">
        <v>109</v>
      </c>
      <c r="C4" s="8" t="s">
        <v>110</v>
      </c>
      <c r="D4" s="8">
        <v>63374</v>
      </c>
      <c r="E4" s="9">
        <v>42505</v>
      </c>
      <c r="F4" s="37">
        <v>44230</v>
      </c>
      <c r="G4" s="37"/>
      <c r="H4" s="7"/>
      <c r="I4" s="19">
        <v>3002</v>
      </c>
      <c r="J4" s="19">
        <f>_xlfn.XLOOKUP(I4,A2:A21,D2:D21,)</f>
        <v>31943</v>
      </c>
      <c r="K4" s="7"/>
      <c r="L4" s="7"/>
      <c r="M4" s="7"/>
      <c r="N4" s="7"/>
      <c r="O4" s="7"/>
      <c r="P4" s="7"/>
      <c r="Q4" s="7"/>
      <c r="R4" s="7"/>
      <c r="S4" s="7"/>
      <c r="T4" s="7"/>
      <c r="U4" s="7"/>
      <c r="V4" s="7"/>
      <c r="W4" s="7"/>
      <c r="X4" s="7"/>
      <c r="Y4" s="7"/>
      <c r="Z4" s="7"/>
    </row>
    <row r="5" spans="1:26" ht="14.25">
      <c r="A5" s="8">
        <v>3004</v>
      </c>
      <c r="B5" s="8" t="s">
        <v>111</v>
      </c>
      <c r="C5" s="8" t="s">
        <v>107</v>
      </c>
      <c r="D5" s="8">
        <v>109972</v>
      </c>
      <c r="E5" s="9">
        <v>42755</v>
      </c>
      <c r="F5" s="37">
        <v>44231</v>
      </c>
      <c r="G5" s="37"/>
      <c r="H5" s="7"/>
      <c r="I5" s="7"/>
      <c r="J5" s="7"/>
      <c r="K5" s="7"/>
      <c r="L5" s="7"/>
      <c r="M5" s="7"/>
      <c r="N5" s="7"/>
      <c r="O5" s="7"/>
      <c r="P5" s="7"/>
      <c r="Q5" s="7"/>
      <c r="R5" s="7"/>
      <c r="S5" s="7"/>
      <c r="T5" s="7"/>
      <c r="U5" s="7"/>
      <c r="V5" s="7"/>
      <c r="W5" s="7"/>
      <c r="X5" s="7"/>
      <c r="Y5" s="7"/>
      <c r="Z5" s="7"/>
    </row>
    <row r="6" spans="1:26" ht="14.25">
      <c r="A6" s="8">
        <v>3005</v>
      </c>
      <c r="B6" s="8" t="s">
        <v>112</v>
      </c>
      <c r="C6" s="8" t="s">
        <v>113</v>
      </c>
      <c r="D6" s="8">
        <v>54149</v>
      </c>
      <c r="E6" s="9">
        <v>43005</v>
      </c>
      <c r="F6" s="37">
        <v>44232</v>
      </c>
      <c r="G6" s="37"/>
      <c r="H6" s="7"/>
      <c r="I6" s="43" t="s">
        <v>150</v>
      </c>
      <c r="J6" s="44"/>
      <c r="K6" s="44"/>
      <c r="L6" s="44"/>
      <c r="M6" s="44"/>
      <c r="N6" s="44"/>
      <c r="O6" s="7"/>
      <c r="P6" s="7"/>
      <c r="Q6" s="7"/>
      <c r="R6" s="7"/>
      <c r="S6" s="7"/>
      <c r="T6" s="7"/>
      <c r="U6" s="7"/>
      <c r="V6" s="7"/>
      <c r="W6" s="7"/>
      <c r="X6" s="7"/>
      <c r="Y6" s="7"/>
      <c r="Z6" s="7"/>
    </row>
    <row r="7" spans="1:26" ht="14.25">
      <c r="A7" s="8">
        <v>3006</v>
      </c>
      <c r="B7" s="8" t="s">
        <v>114</v>
      </c>
      <c r="C7" s="8" t="s">
        <v>113</v>
      </c>
      <c r="D7" s="8">
        <v>78689</v>
      </c>
      <c r="E7" s="9">
        <v>43255</v>
      </c>
      <c r="F7" s="37">
        <v>44233</v>
      </c>
      <c r="G7" s="37"/>
      <c r="H7" s="7"/>
      <c r="I7" s="44"/>
      <c r="J7" s="44"/>
      <c r="K7" s="44"/>
      <c r="L7" s="44"/>
      <c r="M7" s="44"/>
      <c r="N7" s="44"/>
      <c r="O7" s="7"/>
      <c r="P7" s="7"/>
      <c r="Q7" s="7"/>
      <c r="R7" s="7"/>
      <c r="S7" s="7"/>
      <c r="T7" s="7"/>
      <c r="U7" s="7"/>
      <c r="V7" s="7"/>
      <c r="W7" s="7"/>
      <c r="X7" s="7"/>
      <c r="Y7" s="7"/>
      <c r="Z7" s="7"/>
    </row>
    <row r="8" spans="1:26" ht="14.25">
      <c r="A8" s="8">
        <v>3007</v>
      </c>
      <c r="B8" s="8" t="s">
        <v>115</v>
      </c>
      <c r="C8" s="8" t="s">
        <v>116</v>
      </c>
      <c r="D8" s="8">
        <v>35960</v>
      </c>
      <c r="E8" s="9">
        <v>43505</v>
      </c>
      <c r="F8" s="37">
        <v>44234</v>
      </c>
      <c r="G8" s="37"/>
      <c r="H8" s="7"/>
      <c r="I8" s="7"/>
      <c r="J8" s="7"/>
      <c r="K8" s="7"/>
      <c r="L8" s="7"/>
      <c r="M8" s="7"/>
      <c r="N8" s="7"/>
      <c r="O8" s="7"/>
      <c r="P8" s="7"/>
      <c r="Q8" s="7"/>
      <c r="R8" s="7"/>
      <c r="S8" s="7"/>
      <c r="T8" s="7"/>
      <c r="U8" s="7"/>
      <c r="V8" s="7"/>
      <c r="W8" s="7"/>
      <c r="X8" s="7"/>
      <c r="Y8" s="7"/>
      <c r="Z8" s="7"/>
    </row>
    <row r="9" spans="1:26" ht="14.25">
      <c r="A9" s="8">
        <v>3008</v>
      </c>
      <c r="B9" s="8" t="s">
        <v>117</v>
      </c>
      <c r="C9" s="8" t="s">
        <v>113</v>
      </c>
      <c r="D9" s="8">
        <v>91659</v>
      </c>
      <c r="E9" s="9">
        <v>43755</v>
      </c>
      <c r="F9" s="37">
        <v>44235</v>
      </c>
      <c r="G9" s="37"/>
      <c r="H9" s="7"/>
      <c r="I9" s="28" t="s">
        <v>140</v>
      </c>
      <c r="J9" s="26" t="str">
        <f>LEFT(B2,FIND(" ",B2))</f>
        <v xml:space="preserve">Employee </v>
      </c>
      <c r="K9" s="7"/>
      <c r="L9" s="7"/>
      <c r="M9" s="7"/>
      <c r="N9" s="7"/>
      <c r="O9" s="7"/>
      <c r="P9" s="7"/>
      <c r="Q9" s="7"/>
      <c r="R9" s="7"/>
      <c r="S9" s="7"/>
      <c r="T9" s="7"/>
      <c r="U9" s="7"/>
      <c r="V9" s="7"/>
      <c r="W9" s="7"/>
      <c r="X9" s="7"/>
      <c r="Y9" s="7"/>
      <c r="Z9" s="7"/>
    </row>
    <row r="10" spans="1:26" ht="14.25">
      <c r="A10" s="8">
        <v>3009</v>
      </c>
      <c r="B10" s="8" t="s">
        <v>118</v>
      </c>
      <c r="C10" s="8" t="s">
        <v>113</v>
      </c>
      <c r="D10" s="8">
        <v>90423</v>
      </c>
      <c r="E10" s="9">
        <v>44005</v>
      </c>
      <c r="F10" s="37">
        <v>44236</v>
      </c>
      <c r="G10" s="37"/>
      <c r="H10" s="7"/>
      <c r="I10" s="7"/>
      <c r="J10" s="7"/>
      <c r="K10" s="7"/>
      <c r="L10" s="7"/>
      <c r="M10" s="7"/>
      <c r="N10" s="7"/>
      <c r="O10" s="7"/>
      <c r="P10" s="7"/>
      <c r="Q10" s="7"/>
      <c r="R10" s="7"/>
      <c r="S10" s="7"/>
      <c r="T10" s="7"/>
      <c r="U10" s="7"/>
      <c r="V10" s="7"/>
      <c r="W10" s="7"/>
      <c r="X10" s="7"/>
      <c r="Y10" s="7"/>
      <c r="Z10" s="7"/>
    </row>
    <row r="11" spans="1:26" ht="14.25">
      <c r="A11" s="8">
        <v>3010</v>
      </c>
      <c r="B11" s="8" t="s">
        <v>119</v>
      </c>
      <c r="C11" s="8" t="s">
        <v>110</v>
      </c>
      <c r="D11" s="8">
        <v>107877</v>
      </c>
      <c r="E11" s="9">
        <v>44255</v>
      </c>
      <c r="F11" s="37">
        <v>44237</v>
      </c>
      <c r="G11" s="37"/>
      <c r="H11" s="7"/>
      <c r="I11" s="7"/>
      <c r="J11" s="7"/>
      <c r="K11" s="7"/>
      <c r="L11" s="7"/>
      <c r="M11" s="7"/>
      <c r="N11" s="7"/>
      <c r="O11" s="7"/>
      <c r="P11" s="7"/>
      <c r="Q11" s="7"/>
      <c r="R11" s="7"/>
      <c r="S11" s="7"/>
      <c r="T11" s="7"/>
      <c r="U11" s="7"/>
      <c r="V11" s="7"/>
      <c r="W11" s="7"/>
      <c r="X11" s="7"/>
      <c r="Y11" s="7"/>
      <c r="Z11" s="7"/>
    </row>
    <row r="12" spans="1:26" ht="14.25">
      <c r="A12" s="8">
        <v>3011</v>
      </c>
      <c r="B12" s="8" t="s">
        <v>120</v>
      </c>
      <c r="C12" s="8" t="s">
        <v>107</v>
      </c>
      <c r="D12" s="8">
        <v>107634</v>
      </c>
      <c r="E12" s="9">
        <v>44505</v>
      </c>
      <c r="F12" s="37">
        <v>44238</v>
      </c>
      <c r="G12" s="37"/>
      <c r="H12" s="7"/>
      <c r="I12" s="43" t="s">
        <v>154</v>
      </c>
      <c r="J12" s="44"/>
      <c r="K12" s="44"/>
      <c r="L12" s="44"/>
      <c r="M12" s="44"/>
      <c r="N12" s="44"/>
      <c r="O12" s="43"/>
      <c r="P12" s="44"/>
      <c r="Q12" s="7"/>
      <c r="R12" s="7"/>
      <c r="S12" s="7"/>
      <c r="T12" s="7"/>
      <c r="U12" s="7"/>
      <c r="V12" s="7"/>
      <c r="W12" s="7"/>
      <c r="X12" s="7"/>
      <c r="Y12" s="7"/>
      <c r="Z12" s="7"/>
    </row>
    <row r="13" spans="1:26" ht="14.25">
      <c r="A13" s="8">
        <v>3012</v>
      </c>
      <c r="B13" s="8" t="s">
        <v>121</v>
      </c>
      <c r="C13" s="8" t="s">
        <v>107</v>
      </c>
      <c r="D13" s="8">
        <v>35226</v>
      </c>
      <c r="E13" s="9">
        <v>44755</v>
      </c>
      <c r="F13" s="37">
        <v>44239</v>
      </c>
      <c r="G13" s="37"/>
      <c r="H13" s="7"/>
      <c r="I13" s="44"/>
      <c r="J13" s="44"/>
      <c r="K13" s="44"/>
      <c r="L13" s="44"/>
      <c r="M13" s="44"/>
      <c r="N13" s="44"/>
      <c r="O13" s="44"/>
      <c r="P13" s="44"/>
      <c r="Q13" s="7"/>
      <c r="R13" s="7"/>
      <c r="S13" s="7"/>
      <c r="T13" s="7"/>
      <c r="U13" s="7"/>
      <c r="V13" s="7"/>
      <c r="W13" s="7"/>
      <c r="X13" s="7"/>
      <c r="Y13" s="7"/>
      <c r="Z13" s="7"/>
    </row>
    <row r="14" spans="1:26" ht="14.25">
      <c r="A14" s="8">
        <v>3013</v>
      </c>
      <c r="B14" s="8" t="s">
        <v>122</v>
      </c>
      <c r="C14" s="8" t="s">
        <v>110</v>
      </c>
      <c r="D14" s="8">
        <v>40872</v>
      </c>
      <c r="E14" s="9">
        <v>45005</v>
      </c>
      <c r="F14" s="37">
        <v>44240</v>
      </c>
      <c r="G14" s="37"/>
      <c r="H14" s="7"/>
      <c r="I14" s="7"/>
      <c r="J14" s="7"/>
      <c r="K14" s="7"/>
      <c r="L14" s="7"/>
      <c r="M14" s="7"/>
      <c r="N14" s="7"/>
      <c r="O14" s="7"/>
      <c r="P14" s="7"/>
      <c r="Q14" s="7"/>
      <c r="R14" s="7"/>
      <c r="S14" s="7"/>
      <c r="T14" s="7"/>
      <c r="U14" s="7"/>
      <c r="V14" s="7"/>
      <c r="W14" s="7"/>
      <c r="X14" s="7"/>
      <c r="Y14" s="7"/>
      <c r="Z14" s="7"/>
    </row>
    <row r="15" spans="1:26" ht="14.25">
      <c r="A15" s="8">
        <v>3014</v>
      </c>
      <c r="B15" s="8" t="s">
        <v>123</v>
      </c>
      <c r="C15" s="8" t="s">
        <v>110</v>
      </c>
      <c r="D15" s="8">
        <v>55378</v>
      </c>
      <c r="E15" s="9">
        <v>45255</v>
      </c>
      <c r="F15" s="37">
        <v>44241</v>
      </c>
      <c r="G15" s="37"/>
      <c r="H15" s="7"/>
      <c r="I15" s="7"/>
      <c r="J15" s="29" t="s">
        <v>102</v>
      </c>
      <c r="K15" s="29" t="s">
        <v>104</v>
      </c>
      <c r="L15" s="7"/>
      <c r="M15" s="7"/>
      <c r="N15" s="7"/>
      <c r="O15" s="7"/>
      <c r="P15" s="7"/>
      <c r="Q15" s="7"/>
      <c r="R15" s="7"/>
      <c r="S15" s="7"/>
      <c r="T15" s="7"/>
      <c r="U15" s="7"/>
      <c r="V15" s="7"/>
      <c r="W15" s="7"/>
      <c r="X15" s="7"/>
      <c r="Y15" s="7"/>
      <c r="Z15" s="7"/>
    </row>
    <row r="16" spans="1:26" ht="14.25">
      <c r="A16" s="8">
        <v>3015</v>
      </c>
      <c r="B16" s="8" t="s">
        <v>124</v>
      </c>
      <c r="C16" s="8" t="s">
        <v>110</v>
      </c>
      <c r="D16" s="8">
        <v>63297</v>
      </c>
      <c r="E16" s="9">
        <v>45505</v>
      </c>
      <c r="F16" s="37">
        <v>44242</v>
      </c>
      <c r="G16" s="37"/>
      <c r="H16" s="7"/>
      <c r="I16" s="30" t="s">
        <v>155</v>
      </c>
      <c r="J16" s="23">
        <v>3006</v>
      </c>
      <c r="K16" s="31">
        <f>_xlfn.XLOOKUP(J16,A2:A21,D2:D21,"Not Gfound")</f>
        <v>78689</v>
      </c>
      <c r="L16" s="7"/>
      <c r="M16" s="7"/>
      <c r="N16" s="7"/>
      <c r="O16" s="7"/>
      <c r="P16" s="7"/>
      <c r="Q16" s="7"/>
      <c r="R16" s="7"/>
      <c r="S16" s="7"/>
      <c r="T16" s="7"/>
      <c r="U16" s="7"/>
      <c r="V16" s="7"/>
      <c r="W16" s="7"/>
      <c r="X16" s="7"/>
      <c r="Y16" s="7"/>
      <c r="Z16" s="7"/>
    </row>
    <row r="17" spans="1:26" ht="14.25">
      <c r="A17" s="8">
        <v>3016</v>
      </c>
      <c r="B17" s="8" t="s">
        <v>125</v>
      </c>
      <c r="C17" s="8" t="s">
        <v>107</v>
      </c>
      <c r="D17" s="8">
        <v>114173</v>
      </c>
      <c r="E17" s="9">
        <v>45755</v>
      </c>
      <c r="F17" s="37">
        <v>44243</v>
      </c>
      <c r="G17" s="37"/>
      <c r="H17" s="7"/>
      <c r="I17" s="7"/>
      <c r="J17" s="7"/>
      <c r="K17" s="7"/>
      <c r="L17" s="7"/>
      <c r="M17" s="7"/>
      <c r="N17" s="7"/>
      <c r="O17" s="7"/>
      <c r="P17" s="7"/>
      <c r="Q17" s="7"/>
      <c r="R17" s="7"/>
      <c r="S17" s="7"/>
      <c r="T17" s="7"/>
      <c r="U17" s="7"/>
      <c r="V17" s="7"/>
      <c r="W17" s="7"/>
      <c r="X17" s="7"/>
      <c r="Y17" s="7"/>
      <c r="Z17" s="7"/>
    </row>
    <row r="18" spans="1:26" ht="14.25">
      <c r="A18" s="8">
        <v>3017</v>
      </c>
      <c r="B18" s="8" t="s">
        <v>126</v>
      </c>
      <c r="C18" s="8" t="s">
        <v>110</v>
      </c>
      <c r="D18" s="8">
        <v>86915</v>
      </c>
      <c r="E18" s="9">
        <v>46005</v>
      </c>
      <c r="F18" s="37">
        <v>44244</v>
      </c>
      <c r="G18" s="37"/>
      <c r="H18" s="7"/>
      <c r="I18" s="7"/>
      <c r="J18" s="7"/>
      <c r="K18" s="7"/>
      <c r="L18" s="7"/>
      <c r="M18" s="7"/>
      <c r="N18" s="7"/>
      <c r="O18" s="7"/>
      <c r="P18" s="7"/>
      <c r="Q18" s="7"/>
      <c r="R18" s="7"/>
      <c r="S18" s="7"/>
      <c r="T18" s="7"/>
      <c r="U18" s="7"/>
      <c r="V18" s="7"/>
      <c r="W18" s="7"/>
      <c r="X18" s="7"/>
      <c r="Y18" s="7"/>
      <c r="Z18" s="7"/>
    </row>
    <row r="19" spans="1:26" ht="14.25">
      <c r="A19" s="8">
        <v>3018</v>
      </c>
      <c r="B19" s="8" t="s">
        <v>127</v>
      </c>
      <c r="C19" s="8" t="s">
        <v>113</v>
      </c>
      <c r="D19" s="8">
        <v>116284</v>
      </c>
      <c r="E19" s="9">
        <v>46255</v>
      </c>
      <c r="F19" s="37">
        <v>44245</v>
      </c>
      <c r="G19" s="37"/>
      <c r="H19" s="7"/>
      <c r="I19" s="7"/>
      <c r="J19" s="7"/>
      <c r="K19" s="7"/>
      <c r="L19" s="7"/>
      <c r="M19" s="7"/>
      <c r="N19" s="7"/>
      <c r="O19" s="7"/>
      <c r="P19" s="7"/>
      <c r="Q19" s="7"/>
      <c r="R19" s="7"/>
      <c r="S19" s="7"/>
      <c r="T19" s="7"/>
      <c r="U19" s="7"/>
      <c r="V19" s="7"/>
      <c r="W19" s="7"/>
      <c r="X19" s="7"/>
      <c r="Y19" s="7"/>
      <c r="Z19" s="7"/>
    </row>
    <row r="20" spans="1:26" ht="14.25">
      <c r="A20" s="8">
        <v>3019</v>
      </c>
      <c r="B20" s="8" t="s">
        <v>128</v>
      </c>
      <c r="C20" s="8" t="s">
        <v>116</v>
      </c>
      <c r="D20" s="8">
        <v>116283</v>
      </c>
      <c r="E20" s="9">
        <v>46505</v>
      </c>
      <c r="F20" s="37">
        <v>44246</v>
      </c>
      <c r="G20" s="37"/>
      <c r="H20" s="7"/>
      <c r="I20" s="40" t="s">
        <v>159</v>
      </c>
      <c r="J20" s="41"/>
      <c r="K20" s="41"/>
      <c r="L20" s="41"/>
      <c r="M20" s="41"/>
      <c r="N20" s="41"/>
      <c r="O20" s="7"/>
      <c r="P20" s="7"/>
      <c r="Q20" s="7"/>
      <c r="R20" s="7"/>
      <c r="S20" s="7"/>
      <c r="T20" s="7"/>
      <c r="U20" s="7"/>
      <c r="V20" s="7"/>
      <c r="W20" s="7"/>
      <c r="X20" s="7"/>
      <c r="Y20" s="7"/>
      <c r="Z20" s="7"/>
    </row>
    <row r="21" spans="1:26" ht="15.75" customHeight="1">
      <c r="A21" s="8">
        <v>3020</v>
      </c>
      <c r="B21" s="8" t="s">
        <v>129</v>
      </c>
      <c r="C21" s="8" t="s">
        <v>116</v>
      </c>
      <c r="D21" s="8">
        <v>99924</v>
      </c>
      <c r="E21" s="9">
        <v>46755</v>
      </c>
      <c r="F21" s="37">
        <v>44247</v>
      </c>
      <c r="G21" s="37"/>
      <c r="H21" s="7"/>
      <c r="I21" s="41"/>
      <c r="J21" s="41"/>
      <c r="K21" s="41"/>
      <c r="L21" s="41"/>
      <c r="M21" s="41"/>
      <c r="N21" s="41"/>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29" t="s">
        <v>140</v>
      </c>
      <c r="J23" s="33" t="s">
        <v>160</v>
      </c>
      <c r="K23" s="33" t="s">
        <v>104</v>
      </c>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34" t="s">
        <v>161</v>
      </c>
      <c r="K24" s="12" t="str" cm="1">
        <f t="array" aca="1" ref="K24" ca="1">INDIRECT(J24)</f>
        <v>Employee 15</v>
      </c>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2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sortState xmlns:xlrd2="http://schemas.microsoft.com/office/spreadsheetml/2017/richdata2" ref="A2:E21">
    <sortCondition ref="A2:A21"/>
  </sortState>
  <mergeCells count="5">
    <mergeCell ref="I20:N21"/>
    <mergeCell ref="I1:L2"/>
    <mergeCell ref="I6:N7"/>
    <mergeCell ref="I12:N13"/>
    <mergeCell ref="O12:P13"/>
  </mergeCells>
  <dataValidations count="1">
    <dataValidation type="list" allowBlank="1" showInputMessage="1" showErrorMessage="1" sqref="I4 J16" xr:uid="{1E219603-9AD4-4A39-A916-66149D052B12}">
      <formula1>$A$2:$A$21</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6FF6-35D3-4837-94F0-B2F910B16CF1}">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Students Grade</vt:lpstr>
      <vt:lpstr>Sales Data</vt:lpstr>
      <vt:lpstr>Employee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Prajapati</dc:creator>
  <cp:lastModifiedBy>Prince Prajapati</cp:lastModifiedBy>
  <dcterms:created xsi:type="dcterms:W3CDTF">2026-03-16T12:36:04Z</dcterms:created>
  <dcterms:modified xsi:type="dcterms:W3CDTF">2026-03-16T12:56:19Z</dcterms:modified>
</cp:coreProperties>
</file>